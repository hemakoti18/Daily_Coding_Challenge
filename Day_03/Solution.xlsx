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D:\coding challenge\Day3\"/>
    </mc:Choice>
  </mc:AlternateContent>
  <xr:revisionPtr revIDLastSave="0" documentId="13_ncr:9_{8A336DD0-F027-44EA-9E77-D10DAD5A012E}" xr6:coauthVersionLast="47" xr6:coauthVersionMax="47" xr10:uidLastSave="{00000000-0000-0000-0000-000000000000}"/>
  <bookViews>
    <workbookView xWindow="-108" yWindow="-108" windowWidth="23256" windowHeight="12456" xr2:uid="{70693494-7C74-4205-9CF8-D214116FE893}"/>
  </bookViews>
  <sheets>
    <sheet name="Data Cleaning &amp; Prep" sheetId="1" r:id="rId1"/>
    <sheet name="Health Status by Age Group" sheetId="2" r:id="rId2"/>
    <sheet name="Nutrient Intake vs. BMI" sheetId="5" r:id="rId3"/>
    <sheet name="Correlation of Sugar and Screen" sheetId="6" r:id="rId4"/>
    <sheet name="Regional Differences" sheetId="7" r:id="rId5"/>
    <sheet name="Dashboard" sheetId="8" r:id="rId6"/>
    <sheet name="Data Validation" sheetId="11" r:id="rId7"/>
    <sheet name="Summary" sheetId="12" r:id="rId8"/>
  </sheets>
  <definedNames>
    <definedName name="_xlnm._FilterDatabase" localSheetId="0" hidden="1">'Data Cleaning &amp; Prep'!$E$1:$J$101</definedName>
    <definedName name="ExternalData_2" localSheetId="6" hidden="1">'Data Validation'!$C$5:$D$10</definedName>
    <definedName name="Slicer_Age_Months2">#N/A</definedName>
    <definedName name="Slicer_Gender">#N/A</definedName>
    <definedName name="Slicer_Health_Status">#N/A</definedName>
    <definedName name="Slicer_Region1">#N/A</definedName>
  </definedNames>
  <calcPr calcId="0"/>
  <pivotCaches>
    <pivotCache cacheId="3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K8" i="1" l="1"/>
  <c r="L8" i="1" s="1"/>
  <c r="K3" i="1"/>
  <c r="L3" i="1" s="1"/>
  <c r="K4" i="1"/>
  <c r="L4" i="1" s="1"/>
  <c r="K5" i="1"/>
  <c r="L5" i="1" s="1"/>
  <c r="K6" i="1"/>
  <c r="L6" i="1" s="1"/>
  <c r="K7" i="1"/>
  <c r="L7" i="1" s="1"/>
  <c r="K9" i="1"/>
  <c r="L9" i="1" s="1"/>
  <c r="K10" i="1"/>
  <c r="L10" i="1" s="1"/>
  <c r="K11" i="1"/>
  <c r="L11" i="1" s="1"/>
  <c r="K12" i="1"/>
  <c r="L12" i="1" s="1"/>
  <c r="K13" i="1"/>
  <c r="L13" i="1" s="1"/>
  <c r="K14" i="1"/>
  <c r="L14" i="1" s="1"/>
  <c r="K15" i="1"/>
  <c r="L15" i="1" s="1"/>
  <c r="K16" i="1"/>
  <c r="L16" i="1" s="1"/>
  <c r="K17" i="1"/>
  <c r="L17" i="1" s="1"/>
  <c r="K18" i="1"/>
  <c r="L18" i="1" s="1"/>
  <c r="K19" i="1"/>
  <c r="L19" i="1" s="1"/>
  <c r="K20" i="1"/>
  <c r="L20" i="1" s="1"/>
  <c r="K21" i="1"/>
  <c r="L21" i="1" s="1"/>
  <c r="K22" i="1"/>
  <c r="L22" i="1" s="1"/>
  <c r="K23" i="1"/>
  <c r="L23" i="1" s="1"/>
  <c r="K24" i="1"/>
  <c r="L24" i="1" s="1"/>
  <c r="K25" i="1"/>
  <c r="L25" i="1" s="1"/>
  <c r="K26" i="1"/>
  <c r="L26" i="1" s="1"/>
  <c r="K27" i="1"/>
  <c r="L27" i="1" s="1"/>
  <c r="K28" i="1"/>
  <c r="L28" i="1" s="1"/>
  <c r="K29" i="1"/>
  <c r="L29" i="1" s="1"/>
  <c r="K30" i="1"/>
  <c r="L30" i="1" s="1"/>
  <c r="K31" i="1"/>
  <c r="L31" i="1" s="1"/>
  <c r="K32" i="1"/>
  <c r="L32" i="1" s="1"/>
  <c r="K33" i="1"/>
  <c r="L33" i="1" s="1"/>
  <c r="K34" i="1"/>
  <c r="L34" i="1" s="1"/>
  <c r="K35" i="1"/>
  <c r="L35" i="1" s="1"/>
  <c r="K36" i="1"/>
  <c r="L36" i="1" s="1"/>
  <c r="K37" i="1"/>
  <c r="L37" i="1" s="1"/>
  <c r="K38" i="1"/>
  <c r="L38" i="1" s="1"/>
  <c r="K39" i="1"/>
  <c r="L39" i="1" s="1"/>
  <c r="K40" i="1"/>
  <c r="L40" i="1" s="1"/>
  <c r="K41" i="1"/>
  <c r="L41" i="1" s="1"/>
  <c r="K42" i="1"/>
  <c r="L42" i="1" s="1"/>
  <c r="K43" i="1"/>
  <c r="L43" i="1" s="1"/>
  <c r="K44" i="1"/>
  <c r="L44" i="1" s="1"/>
  <c r="K45" i="1"/>
  <c r="L45" i="1" s="1"/>
  <c r="K46" i="1"/>
  <c r="L46" i="1" s="1"/>
  <c r="K47" i="1"/>
  <c r="L47" i="1" s="1"/>
  <c r="K48" i="1"/>
  <c r="L48" i="1" s="1"/>
  <c r="K49" i="1"/>
  <c r="L49" i="1" s="1"/>
  <c r="K50" i="1"/>
  <c r="L50" i="1" s="1"/>
  <c r="K51" i="1"/>
  <c r="L51" i="1" s="1"/>
  <c r="K52" i="1"/>
  <c r="L52" i="1" s="1"/>
  <c r="K53" i="1"/>
  <c r="L53" i="1" s="1"/>
  <c r="K54" i="1"/>
  <c r="L54" i="1" s="1"/>
  <c r="K55" i="1"/>
  <c r="L55" i="1" s="1"/>
  <c r="K56" i="1"/>
  <c r="L56" i="1" s="1"/>
  <c r="K57" i="1"/>
  <c r="L57" i="1" s="1"/>
  <c r="K58" i="1"/>
  <c r="L58" i="1" s="1"/>
  <c r="K59" i="1"/>
  <c r="L59" i="1" s="1"/>
  <c r="K60" i="1"/>
  <c r="L60" i="1" s="1"/>
  <c r="K61" i="1"/>
  <c r="L61" i="1" s="1"/>
  <c r="K62" i="1"/>
  <c r="L62" i="1" s="1"/>
  <c r="K63" i="1"/>
  <c r="L63" i="1" s="1"/>
  <c r="K64" i="1"/>
  <c r="L64" i="1" s="1"/>
  <c r="K65" i="1"/>
  <c r="L65" i="1" s="1"/>
  <c r="K66" i="1"/>
  <c r="L66" i="1" s="1"/>
  <c r="K67" i="1"/>
  <c r="L67" i="1" s="1"/>
  <c r="K68" i="1"/>
  <c r="L68" i="1" s="1"/>
  <c r="K69" i="1"/>
  <c r="L69" i="1" s="1"/>
  <c r="K70" i="1"/>
  <c r="L70" i="1" s="1"/>
  <c r="K71" i="1"/>
  <c r="L71" i="1" s="1"/>
  <c r="K72" i="1"/>
  <c r="L72" i="1" s="1"/>
  <c r="K73" i="1"/>
  <c r="L73" i="1" s="1"/>
  <c r="K74" i="1"/>
  <c r="L74" i="1" s="1"/>
  <c r="K75" i="1"/>
  <c r="L75" i="1" s="1"/>
  <c r="K76" i="1"/>
  <c r="L76" i="1" s="1"/>
  <c r="K77" i="1"/>
  <c r="L77" i="1" s="1"/>
  <c r="K78" i="1"/>
  <c r="L78" i="1" s="1"/>
  <c r="K79" i="1"/>
  <c r="L79" i="1" s="1"/>
  <c r="K80" i="1"/>
  <c r="L80" i="1" s="1"/>
  <c r="K81" i="1"/>
  <c r="L81" i="1" s="1"/>
  <c r="K82" i="1"/>
  <c r="L82" i="1" s="1"/>
  <c r="K83" i="1"/>
  <c r="L83" i="1" s="1"/>
  <c r="K84" i="1"/>
  <c r="L84" i="1" s="1"/>
  <c r="K85" i="1"/>
  <c r="L85" i="1" s="1"/>
  <c r="K86" i="1"/>
  <c r="L86" i="1" s="1"/>
  <c r="K87" i="1"/>
  <c r="L87" i="1" s="1"/>
  <c r="K88" i="1"/>
  <c r="L88" i="1" s="1"/>
  <c r="K89" i="1"/>
  <c r="L89" i="1" s="1"/>
  <c r="K90" i="1"/>
  <c r="L90" i="1" s="1"/>
  <c r="K91" i="1"/>
  <c r="L91" i="1" s="1"/>
  <c r="K92" i="1"/>
  <c r="L92" i="1" s="1"/>
  <c r="K93" i="1"/>
  <c r="L93" i="1" s="1"/>
  <c r="K94" i="1"/>
  <c r="L94" i="1" s="1"/>
  <c r="K95" i="1"/>
  <c r="L95" i="1" s="1"/>
  <c r="K96" i="1"/>
  <c r="L96" i="1" s="1"/>
  <c r="K97" i="1"/>
  <c r="L97" i="1" s="1"/>
  <c r="K98" i="1"/>
  <c r="L98" i="1" s="1"/>
  <c r="K99" i="1"/>
  <c r="L99" i="1" s="1"/>
  <c r="K100" i="1"/>
  <c r="L100" i="1" s="1"/>
  <c r="K101" i="1"/>
  <c r="L101" i="1" s="1"/>
  <c r="K2" i="1"/>
  <c r="L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053505-F9BB-4FCB-B4B2-AD7FE962304D}" keepAlive="1" name="Query - Region" description="Connection to the 'Region' query in the workbook." type="5" refreshedVersion="8" background="1" saveData="1">
    <dbPr connection="Provider=Microsoft.Mashup.OleDb.1;Data Source=$Workbook$;Location=Region;Extended Properties=&quot;&quot;" command="SELECT * FROM [Region]"/>
  </connection>
</connections>
</file>

<file path=xl/sharedStrings.xml><?xml version="1.0" encoding="utf-8"?>
<sst xmlns="http://schemas.openxmlformats.org/spreadsheetml/2006/main" count="360" uniqueCount="143">
  <si>
    <t>ChildID</t>
  </si>
  <si>
    <t>Age_Months</t>
  </si>
  <si>
    <t>Gender</t>
  </si>
  <si>
    <t>Height_cm</t>
  </si>
  <si>
    <t>Weight_kg</t>
  </si>
  <si>
    <t>Daily_Fruit_Servings</t>
  </si>
  <si>
    <t>Daily_Veggie_Servings</t>
  </si>
  <si>
    <t>Daily_Sugar_Drinks</t>
  </si>
  <si>
    <t>ScreenTime_Hours</t>
  </si>
  <si>
    <t>Region</t>
  </si>
  <si>
    <t>C001</t>
  </si>
  <si>
    <t>Female</t>
  </si>
  <si>
    <t>South</t>
  </si>
  <si>
    <t>C002</t>
  </si>
  <si>
    <t>Central</t>
  </si>
  <si>
    <t>C003</t>
  </si>
  <si>
    <t>C004</t>
  </si>
  <si>
    <t>C005</t>
  </si>
  <si>
    <t>C006</t>
  </si>
  <si>
    <t>Male</t>
  </si>
  <si>
    <t>East</t>
  </si>
  <si>
    <t>C007</t>
  </si>
  <si>
    <t>C008</t>
  </si>
  <si>
    <t>C009</t>
  </si>
  <si>
    <t>North</t>
  </si>
  <si>
    <t>C010</t>
  </si>
  <si>
    <t>C011</t>
  </si>
  <si>
    <t>West</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</si>
  <si>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</si>
  <si>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</si>
  <si>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</si>
  <si>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</si>
  <si>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</si>
  <si>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</si>
  <si>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</si>
  <si>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</si>
  <si>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</si>
  <si>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</si>
  <si>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</si>
  <si>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</si>
  <si>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</si>
  <si>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</si>
  <si>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</si>
  <si>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</si>
  <si>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</si>
  <si>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</si>
  <si>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</si>
  <si>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</si>
  <si>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</si>
  <si>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</si>
  <si>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</si>
  <si>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</si>
  <si>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</si>
  <si>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</si>
  <si>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</si>
  <si>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</si>
  <si>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</si>
  <si>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</si>
  <si>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</si>
  <si>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</si>
  <si>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</si>
  <si>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</si>
  <si>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</si>
  <si>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</si>
  <si>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</si>
  <si>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</si>
  <si>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</si>
  <si>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</si>
  <si>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</si>
  <si>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</si>
  <si>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</si>
  <si>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</si>
  <si>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</si>
  <si>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</si>
  <si>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</si>
  <si>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</si>
  <si>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</si>
  <si>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</si>
  <si>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</si>
  <si>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</si>
  <si>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</si>
  <si>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</si>
  <si>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</si>
  <si>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</si>
  <si>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</si>
  <si>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</si>
  <si>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</si>
  <si>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</si>
  <si>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</si>
  <si>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</si>
  <si>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</si>
  <si>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</si>
  <si>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</si>
  <si>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</si>
  <si>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</si>
  <si>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</si>
  <si>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</si>
  <si>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</si>
  <si>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</si>
  <si>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</si>
  <si>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</si>
  <si>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</si>
  <si>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</si>
  <si>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</si>
  <si>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</si>
  <si>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</si>
  <si>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</si>
  <si>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</si>
  <si>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</si>
  <si>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</si>
  <si>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</si>
  <si>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</si>
  <si>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</si>
  <si>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</si>
  <si>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</si>
  <si>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</si>
  <si>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</si>
  <si>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 xml:space="preserve"> BMI</t>
  </si>
  <si>
    <t xml:space="preserve"> Health_Status</t>
  </si>
  <si>
    <t>Grand Total</t>
  </si>
  <si>
    <t>Healthy Weight</t>
  </si>
  <si>
    <t>Under Weight</t>
  </si>
  <si>
    <t xml:space="preserve"> Age Months</t>
  </si>
  <si>
    <t>25 - 36</t>
  </si>
  <si>
    <t xml:space="preserve"> 37 - 48</t>
  </si>
  <si>
    <t xml:space="preserve"> 49 - 60</t>
  </si>
  <si>
    <t xml:space="preserve"> </t>
  </si>
  <si>
    <t xml:space="preserve"> Fruit intake</t>
  </si>
  <si>
    <t xml:space="preserve"> Veggie intake</t>
  </si>
  <si>
    <t>Avg screen time</t>
  </si>
  <si>
    <t xml:space="preserve"> Sugar drink</t>
  </si>
  <si>
    <t>Heath status</t>
  </si>
  <si>
    <t xml:space="preserve"> Region</t>
  </si>
  <si>
    <t xml:space="preserve">           </t>
  </si>
  <si>
    <t xml:space="preserve"> Child_Count</t>
  </si>
  <si>
    <t>Summary :</t>
  </si>
  <si>
    <r>
      <t>Out of 200 children,</t>
    </r>
    <r>
      <rPr>
        <b/>
        <sz val="11"/>
        <color theme="1"/>
        <rFont val="Aptos Narrow"/>
        <family val="2"/>
        <scheme val="minor"/>
      </rPr>
      <t xml:space="preserve"> 76 children are under weight</t>
    </r>
    <r>
      <rPr>
        <sz val="11"/>
        <color theme="1"/>
        <rFont val="Aptos Narrow"/>
        <family val="2"/>
        <scheme val="minor"/>
      </rPr>
      <t xml:space="preserve"> and among all regions </t>
    </r>
    <r>
      <rPr>
        <b/>
        <sz val="11"/>
        <color theme="1"/>
        <rFont val="Aptos Narrow"/>
        <family val="2"/>
        <scheme val="minor"/>
      </rPr>
      <t>east and south</t>
    </r>
    <r>
      <rPr>
        <sz val="11"/>
        <color theme="1"/>
        <rFont val="Aptos Narrow"/>
        <family val="2"/>
        <scheme val="minor"/>
      </rPr>
      <t xml:space="preserve"> has shared highest under weight children with </t>
    </r>
    <r>
      <rPr>
        <b/>
        <sz val="11"/>
        <color theme="1"/>
        <rFont val="Aptos Narrow"/>
        <family val="2"/>
        <scheme val="minor"/>
      </rPr>
      <t xml:space="preserve"> 16.3 avg BMI.</t>
    </r>
  </si>
  <si>
    <r>
      <t xml:space="preserve">The Avg screen time of Healthy weight children </t>
    </r>
    <r>
      <rPr>
        <b/>
        <sz val="11"/>
        <color theme="1"/>
        <rFont val="Aptos Narrow"/>
        <family val="2"/>
        <scheme val="minor"/>
      </rPr>
      <t>1.6 hrs.</t>
    </r>
  </si>
  <si>
    <r>
      <t>The Avg Screen time of under weight children</t>
    </r>
    <r>
      <rPr>
        <b/>
        <sz val="11"/>
        <color theme="1"/>
        <rFont val="Aptos Narrow"/>
        <family val="2"/>
        <scheme val="minor"/>
      </rPr>
      <t xml:space="preserve"> 1.3 hrs.</t>
    </r>
  </si>
  <si>
    <r>
      <t>The data consists of 200 children with</t>
    </r>
    <r>
      <rPr>
        <b/>
        <sz val="11"/>
        <color theme="1"/>
        <rFont val="Aptos Narrow"/>
        <family val="2"/>
        <scheme val="minor"/>
      </rPr>
      <t xml:space="preserve"> 52 male and 48 female.</t>
    </r>
  </si>
  <si>
    <r>
      <t xml:space="preserve">Under weight has </t>
    </r>
    <r>
      <rPr>
        <b/>
        <sz val="11"/>
        <color theme="1"/>
        <rFont val="Aptos Narrow"/>
        <family val="2"/>
        <scheme val="minor"/>
      </rPr>
      <t>35 female &amp; 41 male</t>
    </r>
    <r>
      <rPr>
        <sz val="11"/>
        <color theme="1"/>
        <rFont val="Aptos Narrow"/>
        <family val="2"/>
        <scheme val="minor"/>
      </rPr>
      <t xml:space="preserve"> children.</t>
    </r>
  </si>
  <si>
    <r>
      <t xml:space="preserve">Healthy weight has </t>
    </r>
    <r>
      <rPr>
        <b/>
        <sz val="11"/>
        <color theme="1"/>
        <rFont val="Aptos Narrow"/>
        <family val="2"/>
        <scheme val="minor"/>
      </rPr>
      <t>13 female &amp; 11 male</t>
    </r>
    <r>
      <rPr>
        <sz val="11"/>
        <color theme="1"/>
        <rFont val="Aptos Narrow"/>
        <family val="2"/>
        <scheme val="minor"/>
      </rPr>
      <t xml:space="preserve"> children.</t>
    </r>
  </si>
  <si>
    <r>
      <t xml:space="preserve">children in the </t>
    </r>
    <r>
      <rPr>
        <b/>
        <sz val="11"/>
        <color theme="1"/>
        <rFont val="Aptos Narrow"/>
        <family val="2"/>
        <scheme val="minor"/>
      </rPr>
      <t>East and south region</t>
    </r>
    <r>
      <rPr>
        <sz val="11"/>
        <color theme="1"/>
        <rFont val="Aptos Narrow"/>
        <family val="2"/>
        <scheme val="minor"/>
      </rPr>
      <t xml:space="preserve"> tends to have lower BMI values compared to other regions - </t>
    </r>
    <r>
      <rPr>
        <b/>
        <sz val="11"/>
        <color theme="1"/>
        <rFont val="Aptos Narrow"/>
        <family val="2"/>
        <scheme val="minor"/>
      </rPr>
      <t>indicates low nutrition issue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</si>
</sst>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16"/>
      <color theme="1"/>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3" tint="0.749992370372631"/>
        <bgColor indexed="64"/>
      </patternFill>
    </fill>
    <fill>
      <patternFill patternType="solid">
        <fgColor theme="3"/>
        <bgColor indexed="64"/>
      </patternFill>
    </fill>
    <fill>
      <patternFill patternType="solid">
        <fgColor theme="5" tint="0.39997558519241921"/>
        <bgColor indexed="64"/>
      </patternFill>
    </fill>
    <fill>
      <patternFill patternType="solid">
        <fgColor theme="5" tint="0.59999389629810485"/>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0"/>
      </right>
      <top/>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0"/>
      </right>
      <top style="thin">
        <color theme="1"/>
      </top>
      <bottom style="thin">
        <color theme="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168"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applyAlignment="1">
      <alignment horizontal="left"/>
    </xf>
    <xf numFmtId="0" fontId="0" fillId="33" borderId="0" xfId="0" applyNumberFormat="1" applyFill="1"/>
    <xf numFmtId="0" fontId="0" fillId="0" borderId="0" xfId="0" applyBorder="1" applyAlignment="1">
      <alignment horizontal="left"/>
    </xf>
    <xf numFmtId="168" fontId="0" fillId="0" borderId="0" xfId="0" applyNumberFormat="1" applyBorder="1"/>
    <xf numFmtId="0" fontId="0" fillId="0" borderId="11" xfId="0" applyBorder="1" applyAlignment="1">
      <alignment horizontal="left"/>
    </xf>
    <xf numFmtId="168" fontId="0" fillId="0" borderId="11" xfId="0" applyNumberFormat="1" applyBorder="1"/>
    <xf numFmtId="1" fontId="0" fillId="0" borderId="10" xfId="0" applyNumberFormat="1" applyBorder="1"/>
    <xf numFmtId="168" fontId="0" fillId="0" borderId="10" xfId="0" applyNumberFormat="1" applyBorder="1"/>
    <xf numFmtId="168" fontId="0" fillId="34" borderId="13" xfId="0" applyNumberFormat="1" applyFill="1" applyBorder="1"/>
    <xf numFmtId="168" fontId="0" fillId="34" borderId="14" xfId="0" applyNumberFormat="1" applyFill="1" applyBorder="1"/>
    <xf numFmtId="0" fontId="0" fillId="34" borderId="12" xfId="0" applyFill="1" applyBorder="1" applyAlignment="1">
      <alignment horizontal="left"/>
    </xf>
    <xf numFmtId="0" fontId="0" fillId="35" borderId="0" xfId="0" applyFill="1"/>
    <xf numFmtId="0" fontId="0" fillId="36" borderId="0" xfId="0" applyFill="1"/>
    <xf numFmtId="0" fontId="0" fillId="37" borderId="0" xfId="0" applyFill="1"/>
    <xf numFmtId="168" fontId="0" fillId="34" borderId="15" xfId="0" applyNumberFormat="1" applyFill="1" applyBorder="1"/>
    <xf numFmtId="0" fontId="0" fillId="0" borderId="0" xfId="0" applyNumberFormat="1" applyFont="1" applyFill="1" applyBorder="1"/>
    <xf numFmtId="0" fontId="0" fillId="0" borderId="0" xfId="0" applyBorder="1"/>
    <xf numFmtId="0" fontId="0" fillId="0" borderId="0" xfId="0" applyFill="1"/>
    <xf numFmtId="168" fontId="0" fillId="0" borderId="0" xfId="0" applyNumberFormat="1" applyFill="1"/>
    <xf numFmtId="0" fontId="19" fillId="37" borderId="0" xfId="0" applyFont="1" applyFill="1"/>
    <xf numFmtId="0" fontId="16" fillId="37" borderId="0" xfId="0" applyFont="1" applyFill="1"/>
    <xf numFmtId="0" fontId="0" fillId="37" borderId="0" xfId="0" applyFill="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numFmt numFmtId="0" formatCode="General"/>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ill>
        <patternFill patternType="solid">
          <bgColor theme="3" tint="0.749992370372631"/>
        </patternFill>
      </fill>
    </dxf>
    <dxf>
      <fill>
        <patternFill patternType="solid">
          <bgColor theme="3" tint="0.749992370372631"/>
        </patternFill>
      </fill>
    </dxf>
    <dxf>
      <border>
        <right style="thin">
          <color theme="0"/>
        </right>
      </border>
    </dxf>
    <dxf>
      <border>
        <right style="thin">
          <color theme="0"/>
        </right>
      </border>
    </dxf>
    <dxf>
      <border>
        <right style="thin">
          <color theme="0"/>
        </right>
      </border>
    </dxf>
    <dxf>
      <numFmt numFmtId="168" formatCode="0.0"/>
    </dxf>
    <dxf>
      <numFmt numFmtId="1" formatCode="0"/>
    </dxf>
    <dxf>
      <border>
        <left/>
        <right/>
        <top/>
        <bottom/>
        <vertical/>
        <horizontal/>
      </border>
    </dxf>
    <dxf>
      <border>
        <left/>
        <right/>
        <top/>
        <bottom/>
        <vertical/>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[Solution.xlsx]Health Status by Age Group!Health_Status</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Health Status</a:t>
            </a:r>
          </a:p>
        </c:rich>
      </c:tx>
      <c:layout>
        <c:manualLayout>
          <c:xMode val="edge"/>
          <c:yMode val="edge"/>
          <c:x val="4.2340113735782989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59492563429571"/>
          <c:y val="0.19907407407407407"/>
          <c:w val="0.78573840769903747"/>
          <c:h val="0.52787984835228929"/>
        </c:manualLayout>
      </c:layout>
      <c:barChart>
        <c:barDir val="col"/>
        <c:grouping val="clustered"/>
        <c:varyColors val="0"/>
        <c:ser>
          <c:idx val="0"/>
          <c:order val="0"/>
          <c:tx>
            <c:strRef>
              <c:f>'Health Status by Age Group'!$D$6:$D$7</c:f>
              <c:strCache>
                <c:ptCount val="1"/>
                <c:pt idx="0">
                  <c:v>Healthy Weight</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'Health Status by Age Group'!$C$8:$C$11</c:f>
              <c:strCache>
                <c:ptCount val="3"/>
                <c:pt idx="0">
                  <c:v>25 - 36</c:v>
                </c:pt>
                <c:pt idx="1">
                  <c:v> 37 - 48</c:v>
                </c:pt>
                <c:pt idx="2">
                  <c:v> 49 - 60</c:v>
                </c:pt>
              </c:strCache>
            </c:strRef>
          </c:cat>
          <c:val>
            <c:numRef>
              <c:f>'Health Status by Age Group'!$D$8:$D$11</c:f>
              <c:numCache>
                <c:formatCode>General</c:formatCode>
                <c:ptCount val="3"/>
                <c:pt idx="0">
                  <c:v>6</c:v>
                </c:pt>
                <c:pt idx="1">
                  <c:v>8</c:v>
                </c:pt>
                <c:pt idx="2">
                  <c:v>10</c:v>
                </c:pt>
              </c:numCache>
            </c:numRef>
          </c:val>
          <c:extLst>
            <c:ext xmlns:c16="http://schemas.microsoft.com/office/drawing/2014/chart" uri="{C3380CC4-5D6E-409C-BE32-E72D297353CC}">
              <c16:uniqueId val="{00000000-7F17-4736-A0EB-7BD492BA3AAF}"/>
            </c:ext>
          </c:extLst>
        </c:ser>
        <c:ser>
          <c:idx val="1"/>
          <c:order val="1"/>
          <c:tx>
            <c:strRef>
              <c:f>'Health Status by Age Group'!$E$6:$E$7</c:f>
              <c:strCache>
                <c:ptCount val="1"/>
                <c:pt idx="0">
                  <c:v>Under Weight</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'Health Status by Age Group'!$C$8:$C$11</c:f>
              <c:strCache>
                <c:ptCount val="3"/>
                <c:pt idx="0">
                  <c:v>25 - 36</c:v>
                </c:pt>
                <c:pt idx="1">
                  <c:v> 37 - 48</c:v>
                </c:pt>
                <c:pt idx="2">
                  <c:v> 49 - 60</c:v>
                </c:pt>
              </c:strCache>
            </c:strRef>
          </c:cat>
          <c:val>
            <c:numRef>
              <c:f>'Health Status by Age Group'!$E$8:$E$11</c:f>
              <c:numCache>
                <c:formatCode>General</c:formatCode>
                <c:ptCount val="3"/>
                <c:pt idx="0">
                  <c:v>33</c:v>
                </c:pt>
                <c:pt idx="1">
                  <c:v>22</c:v>
                </c:pt>
                <c:pt idx="2">
                  <c:v>21</c:v>
                </c:pt>
              </c:numCache>
            </c:numRef>
          </c:val>
          <c:extLst>
            <c:ext xmlns:c16="http://schemas.microsoft.com/office/drawing/2014/chart" uri="{C3380CC4-5D6E-409C-BE32-E72D297353CC}">
              <c16:uniqueId val="{00000004-7F17-4736-A0EB-7BD492BA3AAF}"/>
            </c:ext>
          </c:extLst>
        </c:ser>
        <c:dLbls>
          <c:dLblPos val="outEnd"/>
          <c:showLegendKey val="0"/>
          <c:showVal val="1"/>
          <c:showCatName val="0"/>
          <c:showSerName val="0"/>
          <c:showPercent val="0"/>
          <c:showBubbleSize val="0"/>
        </c:dLbls>
        <c:gapWidth val="100"/>
        <c:overlap val="-24"/>
        <c:axId val="1810158287"/>
        <c:axId val="1810158767"/>
      </c:barChart>
      <c:catAx>
        <c:axId val="181015828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Age Group</a:t>
                </a:r>
              </a:p>
            </c:rich>
          </c:tx>
          <c:layout>
            <c:manualLayout>
              <c:xMode val="edge"/>
              <c:yMode val="edge"/>
              <c:x val="0.45465157480314955"/>
              <c:y val="0.82009405074365704"/>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0158767"/>
        <c:crosses val="autoZero"/>
        <c:auto val="1"/>
        <c:lblAlgn val="ctr"/>
        <c:lblOffset val="100"/>
        <c:noMultiLvlLbl val="0"/>
      </c:catAx>
      <c:valAx>
        <c:axId val="181015876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Health count</a:t>
                </a:r>
              </a:p>
            </c:rich>
          </c:tx>
          <c:layout>
            <c:manualLayout>
              <c:xMode val="edge"/>
              <c:yMode val="edge"/>
              <c:x val="1.9444444444444445E-2"/>
              <c:y val="0.3299004811898512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0158287"/>
        <c:crosses val="autoZero"/>
        <c:crossBetween val="between"/>
      </c:valAx>
      <c:spPr>
        <a:noFill/>
        <a:ln>
          <a:noFill/>
        </a:ln>
        <a:effectLst/>
      </c:spPr>
    </c:plotArea>
    <c:legend>
      <c:legendPos val="b"/>
      <c:layout>
        <c:manualLayout>
          <c:xMode val="edge"/>
          <c:yMode val="edge"/>
          <c:x val="0.29270756780402446"/>
          <c:y val="0.89511738116068829"/>
          <c:w val="0.24346969649627129"/>
          <c:h val="4.982320079786307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[Solution.xlsx]Nutrient Intake vs. BMI!Nutrition</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BMI Status</a:t>
            </a:r>
          </a:p>
        </c:rich>
      </c:tx>
      <c:layout>
        <c:manualLayout>
          <c:xMode val="edge"/>
          <c:yMode val="edge"/>
          <c:x val="0.35221522309711284"/>
          <c:y val="3.2407407407407406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alpha val="70000"/>
            </a:schemeClr>
          </a:solidFill>
          <a:ln>
            <a:noFill/>
          </a:ln>
          <a:effectLst/>
        </c:spPr>
        <c:marker>
          <c:symbol val="circle"/>
          <c:size val="6"/>
          <c:spPr>
            <a:gradFill>
              <a:gsLst>
                <a:gs pos="0">
                  <a:schemeClr val="accent6">
                    <a:tint val="54000"/>
                  </a:schemeClr>
                </a:gs>
                <a:gs pos="46000">
                  <a:schemeClr val="accent6">
                    <a:tint val="54000"/>
                  </a:schemeClr>
                </a:gs>
                <a:gs pos="100000">
                  <a:schemeClr val="accent6">
                    <a:tint val="54000"/>
                    <a:lumMod val="20000"/>
                    <a:lumOff val="80000"/>
                    <a:alpha val="0"/>
                  </a:schemeClr>
                </a:gs>
              </a:gsLst>
              <a:path path="circle">
                <a:fillToRect l="50000" t="-80000" r="50000" b="180000"/>
              </a:path>
            </a:gradFill>
            <a:ln w="9525" cap="flat" cmpd="sng" algn="ctr">
              <a:solidFill>
                <a:schemeClr val="accent6">
                  <a:tint val="54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70000"/>
            </a:schemeClr>
          </a:solidFill>
          <a:ln>
            <a:noFill/>
          </a:ln>
          <a:effectLst/>
        </c:spPr>
        <c:marker>
          <c:symbol val="circle"/>
          <c:size val="6"/>
          <c:spPr>
            <a:gradFill>
              <a:gsLst>
                <a:gs pos="0">
                  <a:schemeClr val="accent6">
                    <a:tint val="77000"/>
                  </a:schemeClr>
                </a:gs>
                <a:gs pos="46000">
                  <a:schemeClr val="accent6">
                    <a:tint val="77000"/>
                  </a:schemeClr>
                </a:gs>
                <a:gs pos="100000">
                  <a:schemeClr val="accent6">
                    <a:tint val="77000"/>
                    <a:lumMod val="20000"/>
                    <a:lumOff val="80000"/>
                    <a:alpha val="0"/>
                  </a:schemeClr>
                </a:gs>
              </a:gsLst>
              <a:path path="circle">
                <a:fillToRect l="50000" t="-80000" r="50000" b="180000"/>
              </a:path>
            </a:gradFill>
            <a:ln w="9525" cap="flat" cmpd="sng" algn="ctr">
              <a:solidFill>
                <a:schemeClr val="accent6">
                  <a:tint val="77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70000"/>
            </a:schemeClr>
          </a:solidFill>
          <a:ln>
            <a:noFill/>
          </a:ln>
          <a:effectLst/>
        </c:spPr>
        <c:marker>
          <c:symbol val="circle"/>
          <c:size val="6"/>
          <c:spPr>
            <a:gradFill>
              <a:gsLst>
                <a:gs pos="0">
                  <a:schemeClr val="accent6"/>
                </a:gs>
                <a:gs pos="46000">
                  <a:schemeClr val="accent6"/>
                </a:gs>
                <a:gs pos="100000">
                  <a:schemeClr val="accent6">
                    <a:lumMod val="20000"/>
                    <a:lumOff val="80000"/>
                    <a:alpha val="0"/>
                  </a:schemeClr>
                </a:gs>
              </a:gsLst>
              <a:path path="circle">
                <a:fillToRect l="50000" t="-80000" r="50000" b="180000"/>
              </a:path>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70000"/>
            </a:schemeClr>
          </a:solidFill>
          <a:ln>
            <a:noFill/>
          </a:ln>
          <a:effectLst/>
        </c:spPr>
        <c:marker>
          <c:symbol val="circle"/>
          <c:size val="6"/>
          <c:spPr>
            <a:gradFill>
              <a:gsLst>
                <a:gs pos="0">
                  <a:schemeClr val="accent6">
                    <a:shade val="76000"/>
                  </a:schemeClr>
                </a:gs>
                <a:gs pos="46000">
                  <a:schemeClr val="accent6">
                    <a:shade val="76000"/>
                  </a:schemeClr>
                </a:gs>
                <a:gs pos="100000">
                  <a:schemeClr val="accent6">
                    <a:shade val="76000"/>
                    <a:lumMod val="20000"/>
                    <a:lumOff val="80000"/>
                    <a:alpha val="0"/>
                  </a:schemeClr>
                </a:gs>
              </a:gsLst>
              <a:path path="circle">
                <a:fillToRect l="50000" t="-80000" r="50000" b="180000"/>
              </a:path>
            </a:gradFill>
            <a:ln w="9525" cap="flat" cmpd="sng" algn="ctr">
              <a:solidFill>
                <a:schemeClr val="accent6">
                  <a:shade val="76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alpha val="70000"/>
            </a:schemeClr>
          </a:solidFill>
          <a:ln>
            <a:noFill/>
          </a:ln>
          <a:effectLst/>
        </c:spPr>
        <c:marker>
          <c:symbol val="circle"/>
          <c:size val="6"/>
          <c:spPr>
            <a:gradFill>
              <a:gsLst>
                <a:gs pos="0">
                  <a:schemeClr val="accent6">
                    <a:shade val="53000"/>
                  </a:schemeClr>
                </a:gs>
                <a:gs pos="46000">
                  <a:schemeClr val="accent6">
                    <a:shade val="53000"/>
                  </a:schemeClr>
                </a:gs>
                <a:gs pos="100000">
                  <a:schemeClr val="accent6">
                    <a:shade val="53000"/>
                    <a:lumMod val="20000"/>
                    <a:lumOff val="80000"/>
                    <a:alpha val="0"/>
                  </a:schemeClr>
                </a:gs>
              </a:gsLst>
              <a:path path="circle">
                <a:fillToRect l="50000" t="-80000" r="50000" b="180000"/>
              </a:path>
            </a:gradFill>
            <a:ln w="9525" cap="flat" cmpd="sng" algn="ctr">
              <a:solidFill>
                <a:schemeClr val="accent6">
                  <a:shade val="53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31714785651792"/>
          <c:y val="0.19486111111111112"/>
          <c:w val="0.79712729658792647"/>
          <c:h val="0.55884988334791486"/>
        </c:manualLayout>
      </c:layout>
      <c:barChart>
        <c:barDir val="col"/>
        <c:grouping val="stacked"/>
        <c:varyColors val="0"/>
        <c:ser>
          <c:idx val="0"/>
          <c:order val="0"/>
          <c:tx>
            <c:strRef>
              <c:f>'Nutrient Intake vs. BMI'!$E$13:$E$14</c:f>
              <c:strCache>
                <c:ptCount val="1"/>
                <c:pt idx="0">
                  <c:v>0</c:v>
                </c:pt>
              </c:strCache>
            </c:strRef>
          </c:tx>
          <c:spPr>
            <a:solidFill>
              <a:schemeClr val="accent6">
                <a:tint val="54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'Nutrient Intake vs. BMI'!$D$15:$D$20</c:f>
              <c:strCache>
                <c:ptCount val="5"/>
                <c:pt idx="0">
                  <c:v>0</c:v>
                </c:pt>
                <c:pt idx="1">
                  <c:v>1</c:v>
                </c:pt>
                <c:pt idx="2">
                  <c:v>2</c:v>
                </c:pt>
                <c:pt idx="3">
                  <c:v>3</c:v>
                </c:pt>
                <c:pt idx="4">
                  <c:v>4</c:v>
                </c:pt>
              </c:strCache>
            </c:strRef>
          </c:cat>
          <c:val>
            <c:numRef>
              <c:f>'Nutrient Intake vs. BMI'!$E$15:$E$20</c:f>
              <c:numCache>
                <c:formatCode>0.0</c:formatCode>
                <c:ptCount val="5"/>
                <c:pt idx="0">
                  <c:v>19.016420427584645</c:v>
                </c:pt>
                <c:pt idx="1">
                  <c:v>16.35248862763348</c:v>
                </c:pt>
                <c:pt idx="2">
                  <c:v>18.304030863042058</c:v>
                </c:pt>
                <c:pt idx="3">
                  <c:v>18.791232347431109</c:v>
                </c:pt>
                <c:pt idx="4">
                  <c:v>17.326942725016981</c:v>
                </c:pt>
              </c:numCache>
            </c:numRef>
          </c:val>
          <c:extLst>
            <c:ext xmlns:c16="http://schemas.microsoft.com/office/drawing/2014/chart" uri="{C3380CC4-5D6E-409C-BE32-E72D297353CC}">
              <c16:uniqueId val="{00000000-1227-4837-8FC6-2DFA50D4A2AF}"/>
            </c:ext>
          </c:extLst>
        </c:ser>
        <c:ser>
          <c:idx val="1"/>
          <c:order val="1"/>
          <c:tx>
            <c:strRef>
              <c:f>'Nutrient Intake vs. BMI'!$F$13:$F$14</c:f>
              <c:strCache>
                <c:ptCount val="1"/>
                <c:pt idx="0">
                  <c:v>1</c:v>
                </c:pt>
              </c:strCache>
            </c:strRef>
          </c:tx>
          <c:spPr>
            <a:solidFill>
              <a:schemeClr val="accent6">
                <a:tint val="77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'Nutrient Intake vs. BMI'!$D$15:$D$20</c:f>
              <c:strCache>
                <c:ptCount val="5"/>
                <c:pt idx="0">
                  <c:v>0</c:v>
                </c:pt>
                <c:pt idx="1">
                  <c:v>1</c:v>
                </c:pt>
                <c:pt idx="2">
                  <c:v>2</c:v>
                </c:pt>
                <c:pt idx="3">
                  <c:v>3</c:v>
                </c:pt>
                <c:pt idx="4">
                  <c:v>4</c:v>
                </c:pt>
              </c:strCache>
            </c:strRef>
          </c:cat>
          <c:val>
            <c:numRef>
              <c:f>'Nutrient Intake vs. BMI'!$F$15:$F$20</c:f>
              <c:numCache>
                <c:formatCode>0.0</c:formatCode>
                <c:ptCount val="5"/>
                <c:pt idx="0">
                  <c:v>17.280117596560103</c:v>
                </c:pt>
                <c:pt idx="1">
                  <c:v>16.201722814253078</c:v>
                </c:pt>
                <c:pt idx="2">
                  <c:v>13.414804870225169</c:v>
                </c:pt>
                <c:pt idx="3">
                  <c:v>15.547827345547695</c:v>
                </c:pt>
                <c:pt idx="4">
                  <c:v>16.827714126941665</c:v>
                </c:pt>
              </c:numCache>
            </c:numRef>
          </c:val>
          <c:extLst>
            <c:ext xmlns:c16="http://schemas.microsoft.com/office/drawing/2014/chart" uri="{C3380CC4-5D6E-409C-BE32-E72D297353CC}">
              <c16:uniqueId val="{00000001-1227-4837-8FC6-2DFA50D4A2AF}"/>
            </c:ext>
          </c:extLst>
        </c:ser>
        <c:ser>
          <c:idx val="2"/>
          <c:order val="2"/>
          <c:tx>
            <c:strRef>
              <c:f>'Nutrient Intake vs. BMI'!$G$13:$G$14</c:f>
              <c:strCache>
                <c:ptCount val="1"/>
                <c:pt idx="0">
                  <c:v>2</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'Nutrient Intake vs. BMI'!$D$15:$D$20</c:f>
              <c:strCache>
                <c:ptCount val="5"/>
                <c:pt idx="0">
                  <c:v>0</c:v>
                </c:pt>
                <c:pt idx="1">
                  <c:v>1</c:v>
                </c:pt>
                <c:pt idx="2">
                  <c:v>2</c:v>
                </c:pt>
                <c:pt idx="3">
                  <c:v>3</c:v>
                </c:pt>
                <c:pt idx="4">
                  <c:v>4</c:v>
                </c:pt>
              </c:strCache>
            </c:strRef>
          </c:cat>
          <c:val>
            <c:numRef>
              <c:f>'Nutrient Intake vs. BMI'!$G$15:$G$20</c:f>
              <c:numCache>
                <c:formatCode>0.0</c:formatCode>
                <c:ptCount val="5"/>
                <c:pt idx="0">
                  <c:v>16.27305047255906</c:v>
                </c:pt>
                <c:pt idx="1">
                  <c:v>17.145357431721354</c:v>
                </c:pt>
                <c:pt idx="2">
                  <c:v>17.219114471226323</c:v>
                </c:pt>
                <c:pt idx="3">
                  <c:v>18.37904051788599</c:v>
                </c:pt>
                <c:pt idx="4">
                  <c:v>16.79563742079436</c:v>
                </c:pt>
              </c:numCache>
            </c:numRef>
          </c:val>
          <c:extLst>
            <c:ext xmlns:c16="http://schemas.microsoft.com/office/drawing/2014/chart" uri="{C3380CC4-5D6E-409C-BE32-E72D297353CC}">
              <c16:uniqueId val="{00000002-1227-4837-8FC6-2DFA50D4A2AF}"/>
            </c:ext>
          </c:extLst>
        </c:ser>
        <c:ser>
          <c:idx val="3"/>
          <c:order val="3"/>
          <c:tx>
            <c:strRef>
              <c:f>'Nutrient Intake vs. BMI'!$H$13:$H$14</c:f>
              <c:strCache>
                <c:ptCount val="1"/>
                <c:pt idx="0">
                  <c:v>3</c:v>
                </c:pt>
              </c:strCache>
            </c:strRef>
          </c:tx>
          <c:spPr>
            <a:solidFill>
              <a:schemeClr val="accent6">
                <a:shade val="76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'Nutrient Intake vs. BMI'!$D$15:$D$20</c:f>
              <c:strCache>
                <c:ptCount val="5"/>
                <c:pt idx="0">
                  <c:v>0</c:v>
                </c:pt>
                <c:pt idx="1">
                  <c:v>1</c:v>
                </c:pt>
                <c:pt idx="2">
                  <c:v>2</c:v>
                </c:pt>
                <c:pt idx="3">
                  <c:v>3</c:v>
                </c:pt>
                <c:pt idx="4">
                  <c:v>4</c:v>
                </c:pt>
              </c:strCache>
            </c:strRef>
          </c:cat>
          <c:val>
            <c:numRef>
              <c:f>'Nutrient Intake vs. BMI'!$H$15:$H$20</c:f>
              <c:numCache>
                <c:formatCode>0.0</c:formatCode>
                <c:ptCount val="5"/>
                <c:pt idx="0">
                  <c:v>17.104134635526798</c:v>
                </c:pt>
                <c:pt idx="1">
                  <c:v>15.486892118792989</c:v>
                </c:pt>
                <c:pt idx="3">
                  <c:v>19.105850849662808</c:v>
                </c:pt>
                <c:pt idx="4">
                  <c:v>16.427913820241738</c:v>
                </c:pt>
              </c:numCache>
            </c:numRef>
          </c:val>
          <c:extLst>
            <c:ext xmlns:c16="http://schemas.microsoft.com/office/drawing/2014/chart" uri="{C3380CC4-5D6E-409C-BE32-E72D297353CC}">
              <c16:uniqueId val="{00000003-1227-4837-8FC6-2DFA50D4A2AF}"/>
            </c:ext>
          </c:extLst>
        </c:ser>
        <c:ser>
          <c:idx val="4"/>
          <c:order val="4"/>
          <c:tx>
            <c:strRef>
              <c:f>'Nutrient Intake vs. BMI'!$I$13:$I$14</c:f>
              <c:strCache>
                <c:ptCount val="1"/>
                <c:pt idx="0">
                  <c:v>4</c:v>
                </c:pt>
              </c:strCache>
            </c:strRef>
          </c:tx>
          <c:spPr>
            <a:solidFill>
              <a:schemeClr val="accent6">
                <a:shade val="53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'Nutrient Intake vs. BMI'!$D$15:$D$20</c:f>
              <c:strCache>
                <c:ptCount val="5"/>
                <c:pt idx="0">
                  <c:v>0</c:v>
                </c:pt>
                <c:pt idx="1">
                  <c:v>1</c:v>
                </c:pt>
                <c:pt idx="2">
                  <c:v>2</c:v>
                </c:pt>
                <c:pt idx="3">
                  <c:v>3</c:v>
                </c:pt>
                <c:pt idx="4">
                  <c:v>4</c:v>
                </c:pt>
              </c:strCache>
            </c:strRef>
          </c:cat>
          <c:val>
            <c:numRef>
              <c:f>'Nutrient Intake vs. BMI'!$I$15:$I$20</c:f>
              <c:numCache>
                <c:formatCode>0.0</c:formatCode>
                <c:ptCount val="5"/>
                <c:pt idx="0">
                  <c:v>18.137073212360072</c:v>
                </c:pt>
                <c:pt idx="1">
                  <c:v>17.548662976364966</c:v>
                </c:pt>
                <c:pt idx="2">
                  <c:v>17.104693630968079</c:v>
                </c:pt>
                <c:pt idx="3">
                  <c:v>15.747317770125974</c:v>
                </c:pt>
                <c:pt idx="4">
                  <c:v>20.023541521230683</c:v>
                </c:pt>
              </c:numCache>
            </c:numRef>
          </c:val>
          <c:extLst>
            <c:ext xmlns:c16="http://schemas.microsoft.com/office/drawing/2014/chart" uri="{C3380CC4-5D6E-409C-BE32-E72D297353CC}">
              <c16:uniqueId val="{00000004-1227-4837-8FC6-2DFA50D4A2AF}"/>
            </c:ext>
          </c:extLst>
        </c:ser>
        <c:dLbls>
          <c:dLblPos val="ctr"/>
          <c:showLegendKey val="0"/>
          <c:showVal val="1"/>
          <c:showCatName val="0"/>
          <c:showSerName val="0"/>
          <c:showPercent val="0"/>
          <c:showBubbleSize val="0"/>
        </c:dLbls>
        <c:gapWidth val="50"/>
        <c:overlap val="100"/>
        <c:axId val="2137692463"/>
        <c:axId val="2137696303"/>
      </c:barChart>
      <c:catAx>
        <c:axId val="2137692463"/>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Veggie</a:t>
                </a:r>
              </a:p>
            </c:rich>
          </c:tx>
          <c:layout>
            <c:manualLayout>
              <c:xMode val="edge"/>
              <c:yMode val="edge"/>
              <c:x val="0.4725682414698163"/>
              <c:y val="0.82833260425780109"/>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696303"/>
        <c:crosses val="autoZero"/>
        <c:auto val="1"/>
        <c:lblAlgn val="ctr"/>
        <c:lblOffset val="100"/>
        <c:noMultiLvlLbl val="0"/>
      </c:catAx>
      <c:valAx>
        <c:axId val="2137696303"/>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BMI</a:t>
                </a:r>
              </a:p>
            </c:rich>
          </c:tx>
          <c:layout>
            <c:manualLayout>
              <c:xMode val="edge"/>
              <c:yMode val="edge"/>
              <c:x val="1.1111111111111112E-2"/>
              <c:y val="0.35672827354913966"/>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692463"/>
        <c:crosses val="autoZero"/>
        <c:crossBetween val="between"/>
      </c:valAx>
      <c:spPr>
        <a:noFill/>
        <a:ln>
          <a:noFill/>
        </a:ln>
        <a:effectLst/>
      </c:spPr>
    </c:plotArea>
    <c:legend>
      <c:legendPos val="b"/>
      <c:layout>
        <c:manualLayout>
          <c:xMode val="edge"/>
          <c:yMode val="edge"/>
          <c:x val="0.39627887139107609"/>
          <c:y val="0.90335593467483233"/>
          <c:w val="0.17116748143448893"/>
          <c:h val="6.987626546681666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[Solution.xlsx]Correlation of Sugar and Screen!Correlation</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Correlation</a:t>
            </a:r>
            <a:r>
              <a:rPr lang="en-IN" baseline="0"/>
              <a:t> </a:t>
            </a:r>
            <a:r>
              <a:rPr lang="en-IN" sz="1400" baseline="0"/>
              <a:t>Status</a:t>
            </a:r>
            <a:endParaRPr lang="en-IN"/>
          </a:p>
        </c:rich>
      </c:tx>
      <c:layout>
        <c:manualLayout>
          <c:xMode val="edge"/>
          <c:yMode val="edge"/>
          <c:x val="3.7194444444444447E-2"/>
          <c:y val="3.24074074074074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x"/>
          <c:size val="5"/>
          <c:spPr>
            <a:no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'Correlation of Sugar and Screen'!$E$6:$E$8</c:f>
              <c:strCache>
                <c:ptCount val="1"/>
                <c:pt idx="0">
                  <c:v>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'Correlation of Sugar and Screen'!$D$9:$D$11</c:f>
              <c:strCache>
                <c:ptCount val="2"/>
                <c:pt idx="0">
                  <c:v>Healthy Weight</c:v>
                </c:pt>
                <c:pt idx="1">
                  <c:v>Under Weight</c:v>
                </c:pt>
              </c:strCache>
            </c:strRef>
          </c:cat>
          <c:val>
            <c:numRef>
              <c:f>'Correlation of Sugar and Screen'!$E$9:$E$11</c:f>
              <c:numCache>
                <c:formatCode>0.0</c:formatCode>
                <c:ptCount val="2"/>
                <c:pt idx="0">
                  <c:v>0.7400000000000001</c:v>
                </c:pt>
                <c:pt idx="1">
                  <c:v>0.74583333333333324</c:v>
                </c:pt>
              </c:numCache>
            </c:numRef>
          </c:val>
          <c:extLst>
            <c:ext xmlns:c16="http://schemas.microsoft.com/office/drawing/2014/chart" uri="{C3380CC4-5D6E-409C-BE32-E72D297353CC}">
              <c16:uniqueId val="{00000000-01EC-4A85-B644-E6FD3B5E5E24}"/>
            </c:ext>
          </c:extLst>
        </c:ser>
        <c:ser>
          <c:idx val="1"/>
          <c:order val="1"/>
          <c:tx>
            <c:strRef>
              <c:f>'Correlation of Sugar and Screen'!$F$6:$F$8</c:f>
              <c:strCache>
                <c:ptCount val="1"/>
                <c:pt idx="0">
                  <c:v>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'Correlation of Sugar and Screen'!$D$9:$D$11</c:f>
              <c:strCache>
                <c:ptCount val="2"/>
                <c:pt idx="0">
                  <c:v>Healthy Weight</c:v>
                </c:pt>
                <c:pt idx="1">
                  <c:v>Under Weight</c:v>
                </c:pt>
              </c:strCache>
            </c:strRef>
          </c:cat>
          <c:val>
            <c:numRef>
              <c:f>'Correlation of Sugar and Screen'!$F$9:$F$11</c:f>
              <c:numCache>
                <c:formatCode>0.0</c:formatCode>
                <c:ptCount val="2"/>
                <c:pt idx="0">
                  <c:v>1.583333333333333</c:v>
                </c:pt>
                <c:pt idx="1">
                  <c:v>1.2562499999999999</c:v>
                </c:pt>
              </c:numCache>
            </c:numRef>
          </c:val>
          <c:extLst>
            <c:ext xmlns:c16="http://schemas.microsoft.com/office/drawing/2014/chart" uri="{C3380CC4-5D6E-409C-BE32-E72D297353CC}">
              <c16:uniqueId val="{00000001-01EC-4A85-B644-E6FD3B5E5E24}"/>
            </c:ext>
          </c:extLst>
        </c:ser>
        <c:ser>
          <c:idx val="2"/>
          <c:order val="2"/>
          <c:tx>
            <c:strRef>
              <c:f>'Correlation of Sugar and Screen'!$G$6:$G$8</c:f>
              <c:strCache>
                <c:ptCount val="1"/>
                <c:pt idx="0">
                  <c:v>2</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'Correlation of Sugar and Screen'!$D$9:$D$11</c:f>
              <c:strCache>
                <c:ptCount val="2"/>
                <c:pt idx="0">
                  <c:v>Healthy Weight</c:v>
                </c:pt>
                <c:pt idx="1">
                  <c:v>Under Weight</c:v>
                </c:pt>
              </c:strCache>
            </c:strRef>
          </c:cat>
          <c:val>
            <c:numRef>
              <c:f>'Correlation of Sugar and Screen'!$G$9:$G$11</c:f>
              <c:numCache>
                <c:formatCode>0.0</c:formatCode>
                <c:ptCount val="2"/>
                <c:pt idx="0">
                  <c:v>1.8285714285714287</c:v>
                </c:pt>
                <c:pt idx="1">
                  <c:v>1.6840000000000002</c:v>
                </c:pt>
              </c:numCache>
            </c:numRef>
          </c:val>
          <c:extLst>
            <c:ext xmlns:c16="http://schemas.microsoft.com/office/drawing/2014/chart" uri="{C3380CC4-5D6E-409C-BE32-E72D297353CC}">
              <c16:uniqueId val="{00000002-01EC-4A85-B644-E6FD3B5E5E24}"/>
            </c:ext>
          </c:extLst>
        </c:ser>
        <c:ser>
          <c:idx val="3"/>
          <c:order val="3"/>
          <c:tx>
            <c:strRef>
              <c:f>'Correlation of Sugar and Screen'!$H$6:$H$8</c:f>
              <c:strCache>
                <c:ptCount val="1"/>
                <c:pt idx="0">
                  <c:v>3</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'Correlation of Sugar and Screen'!$D$9:$D$11</c:f>
              <c:strCache>
                <c:ptCount val="2"/>
                <c:pt idx="0">
                  <c:v>Healthy Weight</c:v>
                </c:pt>
                <c:pt idx="1">
                  <c:v>Under Weight</c:v>
                </c:pt>
              </c:strCache>
            </c:strRef>
          </c:cat>
          <c:val>
            <c:numRef>
              <c:f>'Correlation of Sugar and Screen'!$H$9:$H$11</c:f>
              <c:numCache>
                <c:formatCode>0.0</c:formatCode>
                <c:ptCount val="2"/>
                <c:pt idx="0">
                  <c:v>2.4166666666666665</c:v>
                </c:pt>
                <c:pt idx="1">
                  <c:v>1.6909090909090907</c:v>
                </c:pt>
              </c:numCache>
            </c:numRef>
          </c:val>
          <c:extLst>
            <c:ext xmlns:c16="http://schemas.microsoft.com/office/drawing/2014/chart" uri="{C3380CC4-5D6E-409C-BE32-E72D297353CC}">
              <c16:uniqueId val="{00000003-01EC-4A85-B644-E6FD3B5E5E24}"/>
            </c:ext>
          </c:extLst>
        </c:ser>
        <c:dLbls>
          <c:showLegendKey val="0"/>
          <c:showVal val="0"/>
          <c:showCatName val="0"/>
          <c:showSerName val="0"/>
          <c:showPercent val="0"/>
          <c:showBubbleSize val="0"/>
        </c:dLbls>
        <c:gapWidth val="115"/>
        <c:overlap val="-20"/>
        <c:axId val="148068688"/>
        <c:axId val="148066288"/>
      </c:barChart>
      <c:catAx>
        <c:axId val="148068688"/>
        <c:scaling>
          <c:orientation val="minMax"/>
        </c:scaling>
        <c:delete val="0"/>
        <c:axPos val="l"/>
        <c:title>
          <c:tx>
            <c:rich>
              <a:bodyPr rot="-5400000" spcFirstLastPara="1" vertOverflow="ellipsis" vert="horz" wrap="square" anchor="ctr" anchorCtr="1"/>
              <a:lstStyle/>
              <a:p>
                <a:pPr>
                  <a:defRPr sz="900" b="1" i="0" u="none" strike="noStrike" kern="1200" cap="none" baseline="0">
                    <a:solidFill>
                      <a:schemeClr val="lt1">
                        <a:lumMod val="85000"/>
                      </a:schemeClr>
                    </a:solidFill>
                    <a:latin typeface="+mn-lt"/>
                    <a:ea typeface="+mn-ea"/>
                    <a:cs typeface="+mn-cs"/>
                  </a:defRPr>
                </a:pPr>
                <a:r>
                  <a:rPr lang="en-IN" b="0" cap="none" baseline="0"/>
                  <a:t>health status</a:t>
                </a:r>
              </a:p>
            </c:rich>
          </c:tx>
          <c:layout>
            <c:manualLayout>
              <c:xMode val="edge"/>
              <c:yMode val="edge"/>
              <c:x val="1.3888888888888888E-2"/>
              <c:y val="0.35932086614173231"/>
            </c:manualLayout>
          </c:layout>
          <c:overlay val="0"/>
          <c:spPr>
            <a:noFill/>
            <a:ln>
              <a:noFill/>
            </a:ln>
            <a:effectLst/>
          </c:spPr>
          <c:txPr>
            <a:bodyPr rot="-5400000" spcFirstLastPara="1" vertOverflow="ellipsis" vert="horz" wrap="square" anchor="ctr" anchorCtr="1"/>
            <a:lstStyle/>
            <a:p>
              <a:pPr>
                <a:defRPr sz="900" b="1" i="0" u="none" strike="noStrike" kern="1200" cap="none"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066288"/>
        <c:crosses val="autoZero"/>
        <c:auto val="1"/>
        <c:lblAlgn val="ctr"/>
        <c:lblOffset val="100"/>
        <c:noMultiLvlLbl val="0"/>
      </c:catAx>
      <c:valAx>
        <c:axId val="148066288"/>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Avg</a:t>
                </a:r>
                <a:r>
                  <a:rPr lang="en-IN" baseline="0"/>
                  <a:t> screen time</a:t>
                </a:r>
                <a:endParaRPr lang="en-IN"/>
              </a:p>
            </c:rich>
          </c:tx>
          <c:layout>
            <c:manualLayout>
              <c:xMode val="edge"/>
              <c:yMode val="edge"/>
              <c:x val="0.40053412073490813"/>
              <c:y val="0.80157334499854171"/>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068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[Solution.xlsx]Regional Differences!Regional_diff</c:name>
    <c:fmtId val="9"/>
  </c:pivotSource>
  <c:chart>
    <c:title>
      <c:tx>
        <c:rich>
          <a:bodyPr rot="0" spcFirstLastPara="1" vertOverflow="ellipsis" vert="horz" wrap="square" anchor="ctr" anchorCtr="1"/>
          <a:lstStyle/>
          <a:p>
            <a:pPr>
              <a:defRPr sz="1050" b="1" i="0" u="none" strike="noStrike" kern="1200" cap="all" baseline="0">
                <a:solidFill>
                  <a:schemeClr val="tx1">
                    <a:lumMod val="65000"/>
                    <a:lumOff val="35000"/>
                  </a:schemeClr>
                </a:solidFill>
                <a:latin typeface="+mn-lt"/>
                <a:ea typeface="+mn-ea"/>
                <a:cs typeface="+mn-cs"/>
              </a:defRPr>
            </a:pPr>
            <a:r>
              <a:rPr lang="en-US" sz="1050"/>
              <a:t>Regional Status</a:t>
            </a:r>
          </a:p>
        </c:rich>
      </c:tx>
      <c:layout>
        <c:manualLayout>
          <c:xMode val="edge"/>
          <c:yMode val="edge"/>
          <c:x val="3.0816015805178319E-2"/>
          <c:y val="3.9752950461611876E-2"/>
        </c:manualLayout>
      </c:layout>
      <c:overlay val="0"/>
      <c:spPr>
        <a:noFill/>
        <a:ln>
          <a:noFill/>
        </a:ln>
        <a:effectLst/>
      </c:spPr>
      <c:txPr>
        <a:bodyPr rot="0" spcFirstLastPara="1" vertOverflow="ellipsis" vert="horz" wrap="square" anchor="ctr" anchorCtr="1"/>
        <a:lstStyle/>
        <a:p>
          <a:pPr>
            <a:defRPr sz="105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9"/>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2"/>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7"/>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8"/>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9"/>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476902478947518"/>
          <c:y val="0.19158086008479711"/>
          <c:w val="0.65043982643693654"/>
          <c:h val="0.61569957601453673"/>
        </c:manualLayout>
      </c:layout>
      <c:pie3DChart>
        <c:varyColors val="1"/>
        <c:ser>
          <c:idx val="0"/>
          <c:order val="0"/>
          <c:tx>
            <c:strRef>
              <c:f>'Regional Differences'!$E$6:$E$7</c:f>
              <c:strCache>
                <c:ptCount val="1"/>
                <c:pt idx="0">
                  <c:v>0</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B37A-4D2E-AA65-324A08CF6AED}"/>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B37A-4D2E-AA65-324A08CF6AED}"/>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B37A-4D2E-AA65-324A08CF6AED}"/>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B37A-4D2E-AA65-324A08CF6AED}"/>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B37A-4D2E-AA65-324A08CF6AED}"/>
              </c:ext>
            </c:extLst>
          </c:dPt>
          <c:dLbls>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'Regional Differences'!$D$8:$D$13</c:f>
              <c:strCache>
                <c:ptCount val="5"/>
                <c:pt idx="0">
                  <c:v>Central</c:v>
                </c:pt>
                <c:pt idx="1">
                  <c:v>East</c:v>
                </c:pt>
                <c:pt idx="2">
                  <c:v>North</c:v>
                </c:pt>
                <c:pt idx="3">
                  <c:v>South</c:v>
                </c:pt>
                <c:pt idx="4">
                  <c:v>West</c:v>
                </c:pt>
              </c:strCache>
            </c:strRef>
          </c:cat>
          <c:val>
            <c:numRef>
              <c:f>'Regional Differences'!$E$8:$E$13</c:f>
              <c:numCache>
                <c:formatCode>0.0</c:formatCode>
                <c:ptCount val="5"/>
                <c:pt idx="0">
                  <c:v>18.217181147708828</c:v>
                </c:pt>
                <c:pt idx="1">
                  <c:v>16.806525125178439</c:v>
                </c:pt>
                <c:pt idx="2">
                  <c:v>17.463842965610855</c:v>
                </c:pt>
                <c:pt idx="3">
                  <c:v>16.952622734779116</c:v>
                </c:pt>
                <c:pt idx="4">
                  <c:v>18.575177566174517</c:v>
                </c:pt>
              </c:numCache>
            </c:numRef>
          </c:val>
          <c:extLst>
            <c:ext xmlns:c16="http://schemas.microsoft.com/office/drawing/2014/chart" uri="{C3380CC4-5D6E-409C-BE32-E72D297353CC}">
              <c16:uniqueId val="{00000000-B37A-4D2E-AA65-324A08CF6AED}"/>
            </c:ext>
          </c:extLst>
        </c:ser>
        <c:ser>
          <c:idx val="1"/>
          <c:order val="1"/>
          <c:tx>
            <c:strRef>
              <c:f>'Regional Differences'!$F$6:$F$7</c:f>
              <c:strCache>
                <c:ptCount val="1"/>
                <c:pt idx="0">
                  <c:v>1</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B37A-4D2E-AA65-324A08CF6AED}"/>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B37A-4D2E-AA65-324A08CF6AED}"/>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B37A-4D2E-AA65-324A08CF6AED}"/>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E-B37A-4D2E-AA65-324A08CF6AED}"/>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B37A-4D2E-AA65-324A08CF6AE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'Regional Differences'!$D$8:$D$13</c:f>
              <c:strCache>
                <c:ptCount val="5"/>
                <c:pt idx="0">
                  <c:v>Central</c:v>
                </c:pt>
                <c:pt idx="1">
                  <c:v>East</c:v>
                </c:pt>
                <c:pt idx="2">
                  <c:v>North</c:v>
                </c:pt>
                <c:pt idx="3">
                  <c:v>South</c:v>
                </c:pt>
                <c:pt idx="4">
                  <c:v>West</c:v>
                </c:pt>
              </c:strCache>
            </c:strRef>
          </c:cat>
          <c:val>
            <c:numRef>
              <c:f>'Regional Differences'!$F$8:$F$13</c:f>
              <c:numCache>
                <c:formatCode>0.0</c:formatCode>
                <c:ptCount val="5"/>
                <c:pt idx="0">
                  <c:v>16.481300533623404</c:v>
                </c:pt>
                <c:pt idx="1">
                  <c:v>16.958698711189435</c:v>
                </c:pt>
                <c:pt idx="2">
                  <c:v>15.801917097169721</c:v>
                </c:pt>
                <c:pt idx="3">
                  <c:v>15.881529940728182</c:v>
                </c:pt>
                <c:pt idx="4">
                  <c:v>18.291532954563401</c:v>
                </c:pt>
              </c:numCache>
            </c:numRef>
          </c:val>
          <c:extLst>
            <c:ext xmlns:c16="http://schemas.microsoft.com/office/drawing/2014/chart" uri="{C3380CC4-5D6E-409C-BE32-E72D297353CC}">
              <c16:uniqueId val="{00000001-B37A-4D2E-AA65-324A08CF6AED}"/>
            </c:ext>
          </c:extLst>
        </c:ser>
        <c:ser>
          <c:idx val="2"/>
          <c:order val="2"/>
          <c:tx>
            <c:strRef>
              <c:f>'Regional Differences'!$G$6:$G$7</c:f>
              <c:strCache>
                <c:ptCount val="1"/>
                <c:pt idx="0">
                  <c:v>2</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B37A-4D2E-AA65-324A08CF6AED}"/>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B37A-4D2E-AA65-324A08CF6AED}"/>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2-B37A-4D2E-AA65-324A08CF6AED}"/>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B37A-4D2E-AA65-324A08CF6AED}"/>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4-B37A-4D2E-AA65-324A08CF6AE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'Regional Differences'!$D$8:$D$13</c:f>
              <c:strCache>
                <c:ptCount val="5"/>
                <c:pt idx="0">
                  <c:v>Central</c:v>
                </c:pt>
                <c:pt idx="1">
                  <c:v>East</c:v>
                </c:pt>
                <c:pt idx="2">
                  <c:v>North</c:v>
                </c:pt>
                <c:pt idx="3">
                  <c:v>South</c:v>
                </c:pt>
                <c:pt idx="4">
                  <c:v>West</c:v>
                </c:pt>
              </c:strCache>
            </c:strRef>
          </c:cat>
          <c:val>
            <c:numRef>
              <c:f>'Regional Differences'!$G$8:$G$13</c:f>
              <c:numCache>
                <c:formatCode>0.0</c:formatCode>
                <c:ptCount val="5"/>
                <c:pt idx="0">
                  <c:v>18.301485811639385</c:v>
                </c:pt>
                <c:pt idx="1">
                  <c:v>14.642565527133875</c:v>
                </c:pt>
                <c:pt idx="2">
                  <c:v>15.829240009110588</c:v>
                </c:pt>
                <c:pt idx="3">
                  <c:v>16.355358795755325</c:v>
                </c:pt>
                <c:pt idx="4">
                  <c:v>17.239348397075648</c:v>
                </c:pt>
              </c:numCache>
            </c:numRef>
          </c:val>
          <c:extLst>
            <c:ext xmlns:c16="http://schemas.microsoft.com/office/drawing/2014/chart" uri="{C3380CC4-5D6E-409C-BE32-E72D297353CC}">
              <c16:uniqueId val="{00000002-B37A-4D2E-AA65-324A08CF6AED}"/>
            </c:ext>
          </c:extLst>
        </c:ser>
        <c:ser>
          <c:idx val="3"/>
          <c:order val="3"/>
          <c:tx>
            <c:strRef>
              <c:f>'Regional Differences'!$H$6:$H$7</c:f>
              <c:strCache>
                <c:ptCount val="1"/>
                <c:pt idx="0">
                  <c:v>3</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5-B37A-4D2E-AA65-324A08CF6AED}"/>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6-B37A-4D2E-AA65-324A08CF6AED}"/>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7-B37A-4D2E-AA65-324A08CF6AED}"/>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8-B37A-4D2E-AA65-324A08CF6AED}"/>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9-B37A-4D2E-AA65-324A08CF6AE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'Regional Differences'!$D$8:$D$13</c:f>
              <c:strCache>
                <c:ptCount val="5"/>
                <c:pt idx="0">
                  <c:v>Central</c:v>
                </c:pt>
                <c:pt idx="1">
                  <c:v>East</c:v>
                </c:pt>
                <c:pt idx="2">
                  <c:v>North</c:v>
                </c:pt>
                <c:pt idx="3">
                  <c:v>South</c:v>
                </c:pt>
                <c:pt idx="4">
                  <c:v>West</c:v>
                </c:pt>
              </c:strCache>
            </c:strRef>
          </c:cat>
          <c:val>
            <c:numRef>
              <c:f>'Regional Differences'!$H$8:$H$13</c:f>
              <c:numCache>
                <c:formatCode>0.0</c:formatCode>
                <c:ptCount val="5"/>
                <c:pt idx="0">
                  <c:v>18.641605814492845</c:v>
                </c:pt>
                <c:pt idx="1">
                  <c:v>16.315856271300913</c:v>
                </c:pt>
                <c:pt idx="2">
                  <c:v>18.036794453085363</c:v>
                </c:pt>
                <c:pt idx="3">
                  <c:v>17.402901755273064</c:v>
                </c:pt>
                <c:pt idx="4">
                  <c:v>14.572440546466519</c:v>
                </c:pt>
              </c:numCache>
            </c:numRef>
          </c:val>
          <c:extLst>
            <c:ext xmlns:c16="http://schemas.microsoft.com/office/drawing/2014/chart" uri="{C3380CC4-5D6E-409C-BE32-E72D297353CC}">
              <c16:uniqueId val="{00000003-B37A-4D2E-AA65-324A08CF6AED}"/>
            </c:ext>
          </c:extLst>
        </c:ser>
        <c:ser>
          <c:idx val="4"/>
          <c:order val="4"/>
          <c:tx>
            <c:strRef>
              <c:f>'Regional Differences'!$I$6:$I$7</c:f>
              <c:strCache>
                <c:ptCount val="1"/>
                <c:pt idx="0">
                  <c:v>4</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A-B37A-4D2E-AA65-324A08CF6AED}"/>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B-B37A-4D2E-AA65-324A08CF6AED}"/>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C-B37A-4D2E-AA65-324A08CF6AED}"/>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D-B37A-4D2E-AA65-324A08CF6AED}"/>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E-B37A-4D2E-AA65-324A08CF6AE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'Regional Differences'!$D$8:$D$13</c:f>
              <c:strCache>
                <c:ptCount val="5"/>
                <c:pt idx="0">
                  <c:v>Central</c:v>
                </c:pt>
                <c:pt idx="1">
                  <c:v>East</c:v>
                </c:pt>
                <c:pt idx="2">
                  <c:v>North</c:v>
                </c:pt>
                <c:pt idx="3">
                  <c:v>South</c:v>
                </c:pt>
                <c:pt idx="4">
                  <c:v>West</c:v>
                </c:pt>
              </c:strCache>
            </c:strRef>
          </c:cat>
          <c:val>
            <c:numRef>
              <c:f>'Regional Differences'!$I$8:$I$13</c:f>
              <c:numCache>
                <c:formatCode>0.0</c:formatCode>
                <c:ptCount val="5"/>
                <c:pt idx="0">
                  <c:v>15.479091213039576</c:v>
                </c:pt>
                <c:pt idx="1">
                  <c:v>16.242070296195429</c:v>
                </c:pt>
                <c:pt idx="2">
                  <c:v>17.062630374989162</c:v>
                </c:pt>
                <c:pt idx="3">
                  <c:v>18.503605239602567</c:v>
                </c:pt>
                <c:pt idx="4">
                  <c:v>18.887081936755663</c:v>
                </c:pt>
              </c:numCache>
            </c:numRef>
          </c:val>
          <c:extLst>
            <c:ext xmlns:c16="http://schemas.microsoft.com/office/drawing/2014/chart" uri="{C3380CC4-5D6E-409C-BE32-E72D297353CC}">
              <c16:uniqueId val="{00000004-B37A-4D2E-AA65-324A08CF6AED}"/>
            </c:ext>
          </c:extLst>
        </c:ser>
        <c:dLbls>
          <c:dLblPos val="outEnd"/>
          <c:showLegendKey val="0"/>
          <c:showVal val="0"/>
          <c:showCatName val="1"/>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[Solution.xlsx]Health Status by Age Group!Health_Status</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Health Status</a:t>
            </a:r>
          </a:p>
        </c:rich>
      </c:tx>
      <c:layout>
        <c:manualLayout>
          <c:xMode val="edge"/>
          <c:yMode val="edge"/>
          <c:x val="4.2340113735782989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59492563429571"/>
          <c:y val="0.19907407407407407"/>
          <c:w val="0.78573840769903747"/>
          <c:h val="0.52787984835228929"/>
        </c:manualLayout>
      </c:layout>
      <c:barChart>
        <c:barDir val="col"/>
        <c:grouping val="clustered"/>
        <c:varyColors val="0"/>
        <c:ser>
          <c:idx val="0"/>
          <c:order val="0"/>
          <c:tx>
            <c:strRef>
              <c:f>'Health Status by Age Group'!$D$6:$D$7</c:f>
              <c:strCache>
                <c:ptCount val="1"/>
                <c:pt idx="0">
                  <c:v>Healthy Weight</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'Health Status by Age Group'!$C$8:$C$11</c:f>
              <c:strCache>
                <c:ptCount val="3"/>
                <c:pt idx="0">
                  <c:v>25 - 36</c:v>
                </c:pt>
                <c:pt idx="1">
                  <c:v> 37 - 48</c:v>
                </c:pt>
                <c:pt idx="2">
                  <c:v> 49 - 60</c:v>
                </c:pt>
              </c:strCache>
            </c:strRef>
          </c:cat>
          <c:val>
            <c:numRef>
              <c:f>'Health Status by Age Group'!$D$8:$D$11</c:f>
              <c:numCache>
                <c:formatCode>General</c:formatCode>
                <c:ptCount val="3"/>
                <c:pt idx="0">
                  <c:v>6</c:v>
                </c:pt>
                <c:pt idx="1">
                  <c:v>8</c:v>
                </c:pt>
                <c:pt idx="2">
                  <c:v>10</c:v>
                </c:pt>
              </c:numCache>
            </c:numRef>
          </c:val>
          <c:extLst>
            <c:ext xmlns:c16="http://schemas.microsoft.com/office/drawing/2014/chart" uri="{C3380CC4-5D6E-409C-BE32-E72D297353CC}">
              <c16:uniqueId val="{00000000-C36A-4CB9-8E38-CFCE93A0D607}"/>
            </c:ext>
          </c:extLst>
        </c:ser>
        <c:ser>
          <c:idx val="1"/>
          <c:order val="1"/>
          <c:tx>
            <c:strRef>
              <c:f>'Health Status by Age Group'!$E$6:$E$7</c:f>
              <c:strCache>
                <c:ptCount val="1"/>
                <c:pt idx="0">
                  <c:v>Under Weight</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'Health Status by Age Group'!$C$8:$C$11</c:f>
              <c:strCache>
                <c:ptCount val="3"/>
                <c:pt idx="0">
                  <c:v>25 - 36</c:v>
                </c:pt>
                <c:pt idx="1">
                  <c:v> 37 - 48</c:v>
                </c:pt>
                <c:pt idx="2">
                  <c:v> 49 - 60</c:v>
                </c:pt>
              </c:strCache>
            </c:strRef>
          </c:cat>
          <c:val>
            <c:numRef>
              <c:f>'Health Status by Age Group'!$E$8:$E$11</c:f>
              <c:numCache>
                <c:formatCode>General</c:formatCode>
                <c:ptCount val="3"/>
                <c:pt idx="0">
                  <c:v>33</c:v>
                </c:pt>
                <c:pt idx="1">
                  <c:v>22</c:v>
                </c:pt>
                <c:pt idx="2">
                  <c:v>21</c:v>
                </c:pt>
              </c:numCache>
            </c:numRef>
          </c:val>
          <c:extLst>
            <c:ext xmlns:c16="http://schemas.microsoft.com/office/drawing/2014/chart" uri="{C3380CC4-5D6E-409C-BE32-E72D297353CC}">
              <c16:uniqueId val="{00000004-C36A-4CB9-8E38-CFCE93A0D607}"/>
            </c:ext>
          </c:extLst>
        </c:ser>
        <c:dLbls>
          <c:dLblPos val="outEnd"/>
          <c:showLegendKey val="0"/>
          <c:showVal val="1"/>
          <c:showCatName val="0"/>
          <c:showSerName val="0"/>
          <c:showPercent val="0"/>
          <c:showBubbleSize val="0"/>
        </c:dLbls>
        <c:gapWidth val="100"/>
        <c:overlap val="-24"/>
        <c:axId val="1810158287"/>
        <c:axId val="1810158767"/>
      </c:barChart>
      <c:catAx>
        <c:axId val="1810158287"/>
        <c:scaling>
          <c:orientation val="minMax"/>
        </c:scaling>
        <c:delete val="0"/>
        <c:axPos val="b"/>
        <c:title>
          <c:tx>
            <c:rich>
              <a:bodyPr rot="0" spcFirstLastPara="1" vertOverflow="ellipsis" vert="horz" wrap="square" anchor="ctr" anchorCtr="1"/>
              <a:lstStyle/>
              <a:p>
                <a:pPr>
                  <a:defRPr sz="800" b="1" i="0" u="none" strike="noStrike" kern="1200" cap="all" baseline="0">
                    <a:solidFill>
                      <a:schemeClr val="lt1">
                        <a:lumMod val="85000"/>
                      </a:schemeClr>
                    </a:solidFill>
                    <a:latin typeface="+mn-lt"/>
                    <a:ea typeface="+mn-ea"/>
                    <a:cs typeface="+mn-cs"/>
                  </a:defRPr>
                </a:pPr>
                <a:r>
                  <a:rPr lang="en-IN" sz="800"/>
                  <a:t>Age Group</a:t>
                </a:r>
              </a:p>
            </c:rich>
          </c:tx>
          <c:layout>
            <c:manualLayout>
              <c:xMode val="edge"/>
              <c:yMode val="edge"/>
              <c:x val="0.45465167144804575"/>
              <c:y val="0.82009397701691777"/>
            </c:manualLayout>
          </c:layout>
          <c:overlay val="0"/>
          <c:spPr>
            <a:noFill/>
            <a:ln>
              <a:noFill/>
            </a:ln>
            <a:effectLst/>
          </c:spPr>
          <c:txPr>
            <a:bodyPr rot="0" spcFirstLastPara="1" vertOverflow="ellipsis" vert="horz" wrap="square" anchor="ctr" anchorCtr="1"/>
            <a:lstStyle/>
            <a:p>
              <a:pPr>
                <a:defRPr sz="8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0158767"/>
        <c:crosses val="autoZero"/>
        <c:auto val="1"/>
        <c:lblAlgn val="ctr"/>
        <c:lblOffset val="100"/>
        <c:noMultiLvlLbl val="0"/>
      </c:catAx>
      <c:valAx>
        <c:axId val="181015876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Health count</a:t>
                </a:r>
              </a:p>
            </c:rich>
          </c:tx>
          <c:layout>
            <c:manualLayout>
              <c:xMode val="edge"/>
              <c:yMode val="edge"/>
              <c:x val="1.9444444444444445E-2"/>
              <c:y val="0.3299004811898512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0158287"/>
        <c:crosses val="autoZero"/>
        <c:crossBetween val="between"/>
      </c:valAx>
      <c:spPr>
        <a:noFill/>
        <a:ln>
          <a:noFill/>
        </a:ln>
        <a:effectLst/>
      </c:spPr>
    </c:plotArea>
    <c:legend>
      <c:legendPos val="b"/>
      <c:layout>
        <c:manualLayout>
          <c:xMode val="edge"/>
          <c:yMode val="edge"/>
          <c:x val="0.28301771144885957"/>
          <c:y val="0.90135952107110195"/>
          <c:w val="0.4756152210624835"/>
          <c:h val="9.239828167546472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[Solution.xlsx]Nutrient Intake vs. BMI!Nutrition</c:name>
    <c:fmtId val="9"/>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BMI Status</a:t>
            </a:r>
          </a:p>
        </c:rich>
      </c:tx>
      <c:layout>
        <c:manualLayout>
          <c:xMode val="edge"/>
          <c:yMode val="edge"/>
          <c:x val="0.35221522309711284"/>
          <c:y val="3.2407407407407406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alpha val="70000"/>
            </a:schemeClr>
          </a:solidFill>
          <a:ln>
            <a:noFill/>
          </a:ln>
          <a:effectLst/>
        </c:spPr>
        <c:marker>
          <c:spPr>
            <a:gradFill>
              <a:gsLst>
                <a:gs pos="0">
                  <a:schemeClr val="accent6">
                    <a:tint val="54000"/>
                  </a:schemeClr>
                </a:gs>
                <a:gs pos="46000">
                  <a:schemeClr val="accent6">
                    <a:tint val="54000"/>
                  </a:schemeClr>
                </a:gs>
                <a:gs pos="100000">
                  <a:schemeClr val="accent6">
                    <a:tint val="54000"/>
                    <a:lumMod val="20000"/>
                    <a:lumOff val="80000"/>
                    <a:alpha val="0"/>
                  </a:schemeClr>
                </a:gs>
              </a:gsLst>
              <a:path path="circle">
                <a:fillToRect l="50000" t="-80000" r="50000" b="180000"/>
              </a:path>
            </a:gradFill>
            <a:ln w="9525" cap="flat" cmpd="sng" algn="ctr">
              <a:solidFill>
                <a:schemeClr val="accent6">
                  <a:tint val="54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6">
              <a:alpha val="70000"/>
            </a:schemeClr>
          </a:solidFill>
          <a:ln>
            <a:noFill/>
          </a:ln>
          <a:effectLst/>
        </c:spPr>
        <c:marker>
          <c:spPr>
            <a:gradFill>
              <a:gsLst>
                <a:gs pos="0">
                  <a:schemeClr val="accent6">
                    <a:tint val="77000"/>
                  </a:schemeClr>
                </a:gs>
                <a:gs pos="46000">
                  <a:schemeClr val="accent6">
                    <a:tint val="77000"/>
                  </a:schemeClr>
                </a:gs>
                <a:gs pos="100000">
                  <a:schemeClr val="accent6">
                    <a:tint val="77000"/>
                    <a:lumMod val="20000"/>
                    <a:lumOff val="80000"/>
                    <a:alpha val="0"/>
                  </a:schemeClr>
                </a:gs>
              </a:gsLst>
              <a:path path="circle">
                <a:fillToRect l="50000" t="-80000" r="50000" b="180000"/>
              </a:path>
            </a:gradFill>
            <a:ln w="9525" cap="flat" cmpd="sng" algn="ctr">
              <a:solidFill>
                <a:schemeClr val="accent6">
                  <a:tint val="77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6">
              <a:alpha val="70000"/>
            </a:schemeClr>
          </a:solidFill>
          <a:ln>
            <a:noFill/>
          </a:ln>
          <a:effectLst/>
        </c:spPr>
        <c:marker>
          <c:spPr>
            <a:gradFill>
              <a:gsLst>
                <a:gs pos="0">
                  <a:schemeClr val="accent6"/>
                </a:gs>
                <a:gs pos="46000">
                  <a:schemeClr val="accent6"/>
                </a:gs>
                <a:gs pos="100000">
                  <a:schemeClr val="accent6">
                    <a:lumMod val="20000"/>
                    <a:lumOff val="80000"/>
                    <a:alpha val="0"/>
                  </a:schemeClr>
                </a:gs>
              </a:gsLst>
              <a:path path="circle">
                <a:fillToRect l="50000" t="-80000" r="50000" b="180000"/>
              </a:path>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6">
              <a:alpha val="70000"/>
            </a:schemeClr>
          </a:solidFill>
          <a:ln>
            <a:noFill/>
          </a:ln>
          <a:effectLst/>
        </c:spPr>
        <c:marker>
          <c:spPr>
            <a:gradFill>
              <a:gsLst>
                <a:gs pos="0">
                  <a:schemeClr val="accent6">
                    <a:shade val="76000"/>
                  </a:schemeClr>
                </a:gs>
                <a:gs pos="46000">
                  <a:schemeClr val="accent6">
                    <a:shade val="76000"/>
                  </a:schemeClr>
                </a:gs>
                <a:gs pos="100000">
                  <a:schemeClr val="accent6">
                    <a:shade val="76000"/>
                    <a:lumMod val="20000"/>
                    <a:lumOff val="80000"/>
                    <a:alpha val="0"/>
                  </a:schemeClr>
                </a:gs>
              </a:gsLst>
              <a:path path="circle">
                <a:fillToRect l="50000" t="-80000" r="50000" b="180000"/>
              </a:path>
            </a:gradFill>
            <a:ln w="9525" cap="flat" cmpd="sng" algn="ctr">
              <a:solidFill>
                <a:schemeClr val="accent6">
                  <a:shade val="76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6">
              <a:alpha val="70000"/>
            </a:schemeClr>
          </a:solidFill>
          <a:ln>
            <a:noFill/>
          </a:ln>
          <a:effectLst/>
        </c:spPr>
        <c:marker>
          <c:spPr>
            <a:gradFill>
              <a:gsLst>
                <a:gs pos="0">
                  <a:schemeClr val="accent6">
                    <a:shade val="53000"/>
                  </a:schemeClr>
                </a:gs>
                <a:gs pos="46000">
                  <a:schemeClr val="accent6">
                    <a:shade val="53000"/>
                  </a:schemeClr>
                </a:gs>
                <a:gs pos="100000">
                  <a:schemeClr val="accent6">
                    <a:shade val="53000"/>
                    <a:lumMod val="20000"/>
                    <a:lumOff val="80000"/>
                    <a:alpha val="0"/>
                  </a:schemeClr>
                </a:gs>
              </a:gsLst>
              <a:path path="circle">
                <a:fillToRect l="50000" t="-80000" r="50000" b="180000"/>
              </a:path>
            </a:gradFill>
            <a:ln w="9525" cap="flat" cmpd="sng" algn="ctr">
              <a:solidFill>
                <a:schemeClr val="accent6">
                  <a:shade val="53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6">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6">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6">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6">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9"/>
        <c:spPr>
          <a:solidFill>
            <a:schemeClr val="accent6">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0"/>
        <c:spPr>
          <a:solidFill>
            <a:schemeClr val="accent6">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1"/>
        <c:spPr>
          <a:solidFill>
            <a:schemeClr val="accent6">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2"/>
        <c:spPr>
          <a:solidFill>
            <a:schemeClr val="accent6">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3"/>
        <c:spPr>
          <a:solidFill>
            <a:schemeClr val="accent6">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4"/>
        <c:spPr>
          <a:solidFill>
            <a:schemeClr val="accent6">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5"/>
        <c:spPr>
          <a:solidFill>
            <a:schemeClr val="accent6">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6"/>
        <c:spPr>
          <a:solidFill>
            <a:schemeClr val="accent6">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7"/>
        <c:spPr>
          <a:solidFill>
            <a:schemeClr val="accent6">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8"/>
        <c:spPr>
          <a:solidFill>
            <a:schemeClr val="accent6">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9"/>
        <c:spPr>
          <a:solidFill>
            <a:schemeClr val="accent6">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0"/>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31714785651792"/>
          <c:y val="0.19486111111111112"/>
          <c:w val="0.79712729658792647"/>
          <c:h val="0.55884988334791486"/>
        </c:manualLayout>
      </c:layout>
      <c:barChart>
        <c:barDir val="col"/>
        <c:grouping val="stacked"/>
        <c:varyColors val="0"/>
        <c:ser>
          <c:idx val="0"/>
          <c:order val="0"/>
          <c:tx>
            <c:strRef>
              <c:f>'Nutrient Intake vs. BMI'!$E$13:$E$14</c:f>
              <c:strCache>
                <c:ptCount val="1"/>
                <c:pt idx="0">
                  <c:v>0</c:v>
                </c:pt>
              </c:strCache>
            </c:strRef>
          </c:tx>
          <c:spPr>
            <a:solidFill>
              <a:schemeClr val="accent6">
                <a:tint val="54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'Nutrient Intake vs. BMI'!$D$15:$D$20</c:f>
              <c:strCache>
                <c:ptCount val="5"/>
                <c:pt idx="0">
                  <c:v>0</c:v>
                </c:pt>
                <c:pt idx="1">
                  <c:v>1</c:v>
                </c:pt>
                <c:pt idx="2">
                  <c:v>2</c:v>
                </c:pt>
                <c:pt idx="3">
                  <c:v>3</c:v>
                </c:pt>
                <c:pt idx="4">
                  <c:v>4</c:v>
                </c:pt>
              </c:strCache>
            </c:strRef>
          </c:cat>
          <c:val>
            <c:numRef>
              <c:f>'Nutrient Intake vs. BMI'!$E$15:$E$20</c:f>
              <c:numCache>
                <c:formatCode>0.0</c:formatCode>
                <c:ptCount val="5"/>
                <c:pt idx="0">
                  <c:v>19.016420427584645</c:v>
                </c:pt>
                <c:pt idx="1">
                  <c:v>16.35248862763348</c:v>
                </c:pt>
                <c:pt idx="2">
                  <c:v>18.304030863042058</c:v>
                </c:pt>
                <c:pt idx="3">
                  <c:v>18.791232347431109</c:v>
                </c:pt>
                <c:pt idx="4">
                  <c:v>17.326942725016981</c:v>
                </c:pt>
              </c:numCache>
            </c:numRef>
          </c:val>
          <c:extLst>
            <c:ext xmlns:c16="http://schemas.microsoft.com/office/drawing/2014/chart" uri="{C3380CC4-5D6E-409C-BE32-E72D297353CC}">
              <c16:uniqueId val="{00000000-66CE-4EB9-819F-41BA17519E3F}"/>
            </c:ext>
          </c:extLst>
        </c:ser>
        <c:ser>
          <c:idx val="1"/>
          <c:order val="1"/>
          <c:tx>
            <c:strRef>
              <c:f>'Nutrient Intake vs. BMI'!$F$13:$F$14</c:f>
              <c:strCache>
                <c:ptCount val="1"/>
                <c:pt idx="0">
                  <c:v>1</c:v>
                </c:pt>
              </c:strCache>
            </c:strRef>
          </c:tx>
          <c:spPr>
            <a:solidFill>
              <a:schemeClr val="accent6">
                <a:tint val="77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'Nutrient Intake vs. BMI'!$D$15:$D$20</c:f>
              <c:strCache>
                <c:ptCount val="5"/>
                <c:pt idx="0">
                  <c:v>0</c:v>
                </c:pt>
                <c:pt idx="1">
                  <c:v>1</c:v>
                </c:pt>
                <c:pt idx="2">
                  <c:v>2</c:v>
                </c:pt>
                <c:pt idx="3">
                  <c:v>3</c:v>
                </c:pt>
                <c:pt idx="4">
                  <c:v>4</c:v>
                </c:pt>
              </c:strCache>
            </c:strRef>
          </c:cat>
          <c:val>
            <c:numRef>
              <c:f>'Nutrient Intake vs. BMI'!$F$15:$F$20</c:f>
              <c:numCache>
                <c:formatCode>0.0</c:formatCode>
                <c:ptCount val="5"/>
                <c:pt idx="0">
                  <c:v>17.280117596560103</c:v>
                </c:pt>
                <c:pt idx="1">
                  <c:v>16.201722814253078</c:v>
                </c:pt>
                <c:pt idx="2">
                  <c:v>13.414804870225169</c:v>
                </c:pt>
                <c:pt idx="3">
                  <c:v>15.547827345547695</c:v>
                </c:pt>
                <c:pt idx="4">
                  <c:v>16.827714126941665</c:v>
                </c:pt>
              </c:numCache>
            </c:numRef>
          </c:val>
          <c:extLst>
            <c:ext xmlns:c16="http://schemas.microsoft.com/office/drawing/2014/chart" uri="{C3380CC4-5D6E-409C-BE32-E72D297353CC}">
              <c16:uniqueId val="{00000001-66CE-4EB9-819F-41BA17519E3F}"/>
            </c:ext>
          </c:extLst>
        </c:ser>
        <c:ser>
          <c:idx val="2"/>
          <c:order val="2"/>
          <c:tx>
            <c:strRef>
              <c:f>'Nutrient Intake vs. BMI'!$G$13:$G$14</c:f>
              <c:strCache>
                <c:ptCount val="1"/>
                <c:pt idx="0">
                  <c:v>2</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'Nutrient Intake vs. BMI'!$D$15:$D$20</c:f>
              <c:strCache>
                <c:ptCount val="5"/>
                <c:pt idx="0">
                  <c:v>0</c:v>
                </c:pt>
                <c:pt idx="1">
                  <c:v>1</c:v>
                </c:pt>
                <c:pt idx="2">
                  <c:v>2</c:v>
                </c:pt>
                <c:pt idx="3">
                  <c:v>3</c:v>
                </c:pt>
                <c:pt idx="4">
                  <c:v>4</c:v>
                </c:pt>
              </c:strCache>
            </c:strRef>
          </c:cat>
          <c:val>
            <c:numRef>
              <c:f>'Nutrient Intake vs. BMI'!$G$15:$G$20</c:f>
              <c:numCache>
                <c:formatCode>0.0</c:formatCode>
                <c:ptCount val="5"/>
                <c:pt idx="0">
                  <c:v>16.27305047255906</c:v>
                </c:pt>
                <c:pt idx="1">
                  <c:v>17.145357431721354</c:v>
                </c:pt>
                <c:pt idx="2">
                  <c:v>17.219114471226323</c:v>
                </c:pt>
                <c:pt idx="3">
                  <c:v>18.37904051788599</c:v>
                </c:pt>
                <c:pt idx="4">
                  <c:v>16.79563742079436</c:v>
                </c:pt>
              </c:numCache>
            </c:numRef>
          </c:val>
          <c:extLst>
            <c:ext xmlns:c16="http://schemas.microsoft.com/office/drawing/2014/chart" uri="{C3380CC4-5D6E-409C-BE32-E72D297353CC}">
              <c16:uniqueId val="{00000002-66CE-4EB9-819F-41BA17519E3F}"/>
            </c:ext>
          </c:extLst>
        </c:ser>
        <c:ser>
          <c:idx val="3"/>
          <c:order val="3"/>
          <c:tx>
            <c:strRef>
              <c:f>'Nutrient Intake vs. BMI'!$H$13:$H$14</c:f>
              <c:strCache>
                <c:ptCount val="1"/>
                <c:pt idx="0">
                  <c:v>3</c:v>
                </c:pt>
              </c:strCache>
            </c:strRef>
          </c:tx>
          <c:spPr>
            <a:solidFill>
              <a:schemeClr val="accent6">
                <a:shade val="76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'Nutrient Intake vs. BMI'!$D$15:$D$20</c:f>
              <c:strCache>
                <c:ptCount val="5"/>
                <c:pt idx="0">
                  <c:v>0</c:v>
                </c:pt>
                <c:pt idx="1">
                  <c:v>1</c:v>
                </c:pt>
                <c:pt idx="2">
                  <c:v>2</c:v>
                </c:pt>
                <c:pt idx="3">
                  <c:v>3</c:v>
                </c:pt>
                <c:pt idx="4">
                  <c:v>4</c:v>
                </c:pt>
              </c:strCache>
            </c:strRef>
          </c:cat>
          <c:val>
            <c:numRef>
              <c:f>'Nutrient Intake vs. BMI'!$H$15:$H$20</c:f>
              <c:numCache>
                <c:formatCode>0.0</c:formatCode>
                <c:ptCount val="5"/>
                <c:pt idx="0">
                  <c:v>17.104134635526798</c:v>
                </c:pt>
                <c:pt idx="1">
                  <c:v>15.486892118792989</c:v>
                </c:pt>
                <c:pt idx="3">
                  <c:v>19.105850849662808</c:v>
                </c:pt>
                <c:pt idx="4">
                  <c:v>16.427913820241738</c:v>
                </c:pt>
              </c:numCache>
            </c:numRef>
          </c:val>
          <c:extLst>
            <c:ext xmlns:c16="http://schemas.microsoft.com/office/drawing/2014/chart" uri="{C3380CC4-5D6E-409C-BE32-E72D297353CC}">
              <c16:uniqueId val="{00000003-66CE-4EB9-819F-41BA17519E3F}"/>
            </c:ext>
          </c:extLst>
        </c:ser>
        <c:ser>
          <c:idx val="4"/>
          <c:order val="4"/>
          <c:tx>
            <c:strRef>
              <c:f>'Nutrient Intake vs. BMI'!$I$13:$I$14</c:f>
              <c:strCache>
                <c:ptCount val="1"/>
                <c:pt idx="0">
                  <c:v>4</c:v>
                </c:pt>
              </c:strCache>
            </c:strRef>
          </c:tx>
          <c:spPr>
            <a:solidFill>
              <a:schemeClr val="accent6">
                <a:shade val="53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'Nutrient Intake vs. BMI'!$D$15:$D$20</c:f>
              <c:strCache>
                <c:ptCount val="5"/>
                <c:pt idx="0">
                  <c:v>0</c:v>
                </c:pt>
                <c:pt idx="1">
                  <c:v>1</c:v>
                </c:pt>
                <c:pt idx="2">
                  <c:v>2</c:v>
                </c:pt>
                <c:pt idx="3">
                  <c:v>3</c:v>
                </c:pt>
                <c:pt idx="4">
                  <c:v>4</c:v>
                </c:pt>
              </c:strCache>
            </c:strRef>
          </c:cat>
          <c:val>
            <c:numRef>
              <c:f>'Nutrient Intake vs. BMI'!$I$15:$I$20</c:f>
              <c:numCache>
                <c:formatCode>0.0</c:formatCode>
                <c:ptCount val="5"/>
                <c:pt idx="0">
                  <c:v>18.137073212360072</c:v>
                </c:pt>
                <c:pt idx="1">
                  <c:v>17.548662976364966</c:v>
                </c:pt>
                <c:pt idx="2">
                  <c:v>17.104693630968079</c:v>
                </c:pt>
                <c:pt idx="3">
                  <c:v>15.747317770125974</c:v>
                </c:pt>
                <c:pt idx="4">
                  <c:v>20.023541521230683</c:v>
                </c:pt>
              </c:numCache>
            </c:numRef>
          </c:val>
          <c:extLst>
            <c:ext xmlns:c16="http://schemas.microsoft.com/office/drawing/2014/chart" uri="{C3380CC4-5D6E-409C-BE32-E72D297353CC}">
              <c16:uniqueId val="{00000004-66CE-4EB9-819F-41BA17519E3F}"/>
            </c:ext>
          </c:extLst>
        </c:ser>
        <c:dLbls>
          <c:dLblPos val="ctr"/>
          <c:showLegendKey val="0"/>
          <c:showVal val="1"/>
          <c:showCatName val="0"/>
          <c:showSerName val="0"/>
          <c:showPercent val="0"/>
          <c:showBubbleSize val="0"/>
        </c:dLbls>
        <c:gapWidth val="50"/>
        <c:overlap val="100"/>
        <c:axId val="2137692463"/>
        <c:axId val="2137696303"/>
      </c:barChart>
      <c:catAx>
        <c:axId val="2137692463"/>
        <c:scaling>
          <c:orientation val="minMax"/>
        </c:scaling>
        <c:delete val="0"/>
        <c:axPos val="b"/>
        <c:title>
          <c:tx>
            <c:rich>
              <a:bodyPr rot="0" spcFirstLastPara="1" vertOverflow="ellipsis" vert="horz" wrap="square" anchor="ctr" anchorCtr="1"/>
              <a:lstStyle/>
              <a:p>
                <a:pPr>
                  <a:defRPr sz="900" b="0" i="0" u="none" strike="noStrike" kern="1200" cap="none" baseline="0">
                    <a:solidFill>
                      <a:schemeClr val="tx1">
                        <a:lumMod val="65000"/>
                        <a:lumOff val="35000"/>
                      </a:schemeClr>
                    </a:solidFill>
                    <a:latin typeface="+mn-lt"/>
                    <a:ea typeface="+mn-ea"/>
                    <a:cs typeface="+mn-cs"/>
                  </a:defRPr>
                </a:pPr>
                <a:r>
                  <a:rPr lang="en-IN" cap="none" baseline="0"/>
                  <a:t>Veggie</a:t>
                </a:r>
              </a:p>
            </c:rich>
          </c:tx>
          <c:layout>
            <c:manualLayout>
              <c:xMode val="edge"/>
              <c:yMode val="edge"/>
              <c:x val="0.4725682414698163"/>
              <c:y val="0.82833260425780109"/>
            </c:manualLayout>
          </c:layout>
          <c:overlay val="0"/>
          <c:spPr>
            <a:noFill/>
            <a:ln>
              <a:noFill/>
            </a:ln>
            <a:effectLst/>
          </c:spPr>
          <c:txPr>
            <a:bodyPr rot="0" spcFirstLastPara="1" vertOverflow="ellipsis" vert="horz" wrap="square" anchor="ctr" anchorCtr="1"/>
            <a:lstStyle/>
            <a:p>
              <a:pPr>
                <a:defRPr sz="900" b="0" i="0" u="none" strike="noStrike" kern="1200" cap="non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696303"/>
        <c:crosses val="autoZero"/>
        <c:auto val="1"/>
        <c:lblAlgn val="ctr"/>
        <c:lblOffset val="100"/>
        <c:noMultiLvlLbl val="0"/>
      </c:catAx>
      <c:valAx>
        <c:axId val="2137696303"/>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BMI</a:t>
                </a:r>
              </a:p>
            </c:rich>
          </c:tx>
          <c:layout>
            <c:manualLayout>
              <c:xMode val="edge"/>
              <c:yMode val="edge"/>
              <c:x val="1.1111111111111112E-2"/>
              <c:y val="0.35672827354913966"/>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692463"/>
        <c:crosses val="autoZero"/>
        <c:crossBetween val="between"/>
      </c:valAx>
      <c:spPr>
        <a:noFill/>
        <a:ln>
          <a:noFill/>
        </a:ln>
        <a:effectLst/>
      </c:spPr>
    </c:plotArea>
    <c:legend>
      <c:legendPos val="b"/>
      <c:layout>
        <c:manualLayout>
          <c:xMode val="edge"/>
          <c:yMode val="edge"/>
          <c:x val="0.39627887139107609"/>
          <c:y val="0.90335593467483233"/>
          <c:w val="0.17116748143448893"/>
          <c:h val="6.987626546681666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[Solution.xlsx]Regional Differences!Regional_diff</c:name>
    <c:fmtId val="15"/>
  </c:pivotSource>
  <c:chart>
    <c:title>
      <c:tx>
        <c:rich>
          <a:bodyPr rot="0" spcFirstLastPara="1" vertOverflow="ellipsis" vert="horz" wrap="square" anchor="ctr" anchorCtr="1"/>
          <a:lstStyle/>
          <a:p>
            <a:pPr>
              <a:defRPr sz="1050" b="1" i="0" u="none" strike="noStrike" kern="1200" cap="all" baseline="0">
                <a:solidFill>
                  <a:schemeClr val="tx1">
                    <a:lumMod val="65000"/>
                    <a:lumOff val="35000"/>
                  </a:schemeClr>
                </a:solidFill>
                <a:latin typeface="+mn-lt"/>
                <a:ea typeface="+mn-ea"/>
                <a:cs typeface="+mn-cs"/>
              </a:defRPr>
            </a:pPr>
            <a:r>
              <a:rPr lang="en-US" sz="1050"/>
              <a:t>Regional Status</a:t>
            </a:r>
          </a:p>
        </c:rich>
      </c:tx>
      <c:layout>
        <c:manualLayout>
          <c:xMode val="edge"/>
          <c:yMode val="edge"/>
          <c:x val="3.0816015805178319E-2"/>
          <c:y val="3.9752950461611876E-2"/>
        </c:manualLayout>
      </c:layout>
      <c:overlay val="0"/>
      <c:spPr>
        <a:noFill/>
        <a:ln>
          <a:noFill/>
        </a:ln>
        <a:effectLst/>
      </c:spPr>
      <c:txPr>
        <a:bodyPr rot="0" spcFirstLastPara="1" vertOverflow="ellipsis" vert="horz" wrap="square" anchor="ctr" anchorCtr="1"/>
        <a:lstStyle/>
        <a:p>
          <a:pPr>
            <a:defRPr sz="105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9"/>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2"/>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7"/>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8"/>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9"/>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3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3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3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3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3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6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6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6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6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6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xForSave val="1"/>
            </c:ext>
          </c:extLst>
        </c:dLbl>
      </c:pivotFmt>
      <c:pivotFmt>
        <c:idx val="6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xForSave val="1"/>
            </c:ext>
          </c:extLst>
        </c:dLbl>
      </c:pivotFmt>
      <c:pivotFmt>
        <c:idx val="6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xForSave val="1"/>
            </c:ext>
          </c:extLst>
        </c:dLbl>
      </c:pivotFmt>
      <c:pivotFmt>
        <c:idx val="7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xForSave val="1"/>
            </c:ext>
          </c:extLst>
        </c:dLbl>
      </c:pivotFmt>
      <c:pivotFmt>
        <c:idx val="7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xForSave val="1"/>
            </c:ext>
          </c:extLst>
        </c:dLbl>
      </c:pivotFmt>
      <c:pivotFmt>
        <c:idx val="7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xForSave val="1"/>
            </c:ext>
          </c:extLst>
        </c:dLbl>
      </c:pivotFmt>
      <c:pivotFmt>
        <c:idx val="7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xForSave val="1"/>
            </c:ext>
          </c:extLst>
        </c:dLbl>
      </c:pivotFmt>
      <c:pivotFmt>
        <c:idx val="7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xForSave val="1"/>
            </c:ext>
          </c:extLst>
        </c:dLbl>
      </c:pivotFmt>
      <c:pivotFmt>
        <c:idx val="7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xForSave val="1"/>
            </c:ext>
          </c:extLst>
        </c:dLbl>
      </c:pivotFmt>
      <c:pivotFmt>
        <c:idx val="7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xForSave val="1"/>
            </c:ext>
          </c:extLst>
        </c:dLbl>
      </c:pivotFmt>
      <c:pivotFmt>
        <c:idx val="7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xForSave val="1"/>
            </c:ext>
          </c:extLst>
        </c:dLbl>
      </c:pivotFmt>
      <c:pivotFmt>
        <c:idx val="8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xForSave val="1"/>
            </c:ext>
          </c:extLst>
        </c:dLbl>
      </c:pivotFmt>
      <c:pivotFmt>
        <c:idx val="8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xForSave val="1"/>
            </c:ext>
          </c:extLst>
        </c:dLbl>
      </c:pivotFmt>
      <c:pivotFmt>
        <c:idx val="8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xForSave val="1"/>
            </c:ext>
          </c:extLst>
        </c:dLbl>
      </c:pivotFmt>
      <c:pivotFmt>
        <c:idx val="8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xForSave val="1"/>
            </c:ext>
          </c:extLst>
        </c:dLbl>
      </c:pivotFmt>
      <c:pivotFmt>
        <c:idx val="8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xForSave val="1"/>
            </c:ext>
          </c:extLst>
        </c:dLbl>
      </c:pivotFmt>
      <c:pivotFmt>
        <c:idx val="8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xForSave val="1"/>
            </c:ext>
          </c:extLst>
        </c:dLbl>
      </c:pivotFmt>
      <c:pivotFmt>
        <c:idx val="8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xForSave val="1"/>
            </c:ext>
          </c:extLst>
        </c:dLbl>
      </c:pivotFmt>
      <c:pivotFmt>
        <c:idx val="8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xForSave val="1"/>
            </c:ext>
          </c:extLst>
        </c:dLbl>
      </c:pivotFmt>
      <c:pivotFmt>
        <c:idx val="8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xForSave val="1"/>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834124154676105"/>
          <c:y val="0.24827728174603172"/>
          <c:w val="0.62600990022826952"/>
          <c:h val="0.59680059523809537"/>
        </c:manualLayout>
      </c:layout>
      <c:pie3DChart>
        <c:varyColors val="1"/>
        <c:ser>
          <c:idx val="0"/>
          <c:order val="0"/>
          <c:tx>
            <c:strRef>
              <c:f>'Regional Differences'!$E$6:$E$7</c:f>
              <c:strCache>
                <c:ptCount val="1"/>
                <c:pt idx="0">
                  <c:v>0</c:v>
                </c:pt>
              </c:strCache>
            </c:strRef>
          </c:tx>
          <c:explosion val="9"/>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797C-40D9-9229-43C3691BA635}"/>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797C-40D9-9229-43C3691BA635}"/>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797C-40D9-9229-43C3691BA635}"/>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797C-40D9-9229-43C3691BA635}"/>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797C-40D9-9229-43C3691BA635}"/>
              </c:ext>
            </c:extLst>
          </c:dPt>
          <c:dLbls>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797C-40D9-9229-43C3691BA635}"/>
                </c:ext>
              </c:extLst>
            </c:dLbl>
            <c:dLbl>
              <c:idx val="1"/>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797C-40D9-9229-43C3691BA635}"/>
                </c:ext>
              </c:extLst>
            </c:dLbl>
            <c:dLbl>
              <c:idx val="2"/>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797C-40D9-9229-43C3691BA635}"/>
                </c:ext>
              </c:extLst>
            </c:dLbl>
            <c:dLbl>
              <c:idx val="3"/>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797C-40D9-9229-43C3691BA635}"/>
                </c:ext>
              </c:extLst>
            </c:dLbl>
            <c:dLbl>
              <c:idx val="4"/>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797C-40D9-9229-43C3691BA635}"/>
                </c:ext>
              </c:extLst>
            </c:dLbl>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'Regional Differences'!$D$8:$D$13</c:f>
              <c:strCache>
                <c:ptCount val="5"/>
                <c:pt idx="0">
                  <c:v>Central</c:v>
                </c:pt>
                <c:pt idx="1">
                  <c:v>East</c:v>
                </c:pt>
                <c:pt idx="2">
                  <c:v>North</c:v>
                </c:pt>
                <c:pt idx="3">
                  <c:v>South</c:v>
                </c:pt>
                <c:pt idx="4">
                  <c:v>West</c:v>
                </c:pt>
              </c:strCache>
            </c:strRef>
          </c:cat>
          <c:val>
            <c:numRef>
              <c:f>'Regional Differences'!$E$8:$E$13</c:f>
              <c:numCache>
                <c:formatCode>0.0</c:formatCode>
                <c:ptCount val="5"/>
                <c:pt idx="0">
                  <c:v>18.217181147708828</c:v>
                </c:pt>
                <c:pt idx="1">
                  <c:v>16.806525125178439</c:v>
                </c:pt>
                <c:pt idx="2">
                  <c:v>17.463842965610855</c:v>
                </c:pt>
                <c:pt idx="3">
                  <c:v>16.952622734779116</c:v>
                </c:pt>
                <c:pt idx="4">
                  <c:v>18.575177566174517</c:v>
                </c:pt>
              </c:numCache>
            </c:numRef>
          </c:val>
          <c:extLst>
            <c:ext xmlns:c16="http://schemas.microsoft.com/office/drawing/2014/chart" uri="{C3380CC4-5D6E-409C-BE32-E72D297353CC}">
              <c16:uniqueId val="{0000000A-797C-40D9-9229-43C3691BA635}"/>
            </c:ext>
          </c:extLst>
        </c:ser>
        <c:ser>
          <c:idx val="1"/>
          <c:order val="1"/>
          <c:tx>
            <c:strRef>
              <c:f>'Regional Differences'!$F$6:$F$7</c:f>
              <c:strCache>
                <c:ptCount val="1"/>
                <c:pt idx="0">
                  <c:v>1</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797C-40D9-9229-43C3691BA635}"/>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E-797C-40D9-9229-43C3691BA635}"/>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797C-40D9-9229-43C3691BA635}"/>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2-797C-40D9-9229-43C3691BA635}"/>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4-797C-40D9-9229-43C3691BA635}"/>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0"/>
              <c:showBubbleSize val="0"/>
              <c:extLst>
                <c:ext xmlns:c16="http://schemas.microsoft.com/office/drawing/2014/chart" uri="{C3380CC4-5D6E-409C-BE32-E72D297353CC}">
                  <c16:uniqueId val="{0000000C-797C-40D9-9229-43C3691BA635}"/>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0"/>
              <c:showBubbleSize val="0"/>
              <c:extLst>
                <c:ext xmlns:c16="http://schemas.microsoft.com/office/drawing/2014/chart" uri="{C3380CC4-5D6E-409C-BE32-E72D297353CC}">
                  <c16:uniqueId val="{0000000E-797C-40D9-9229-43C3691BA635}"/>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0"/>
              <c:showBubbleSize val="0"/>
              <c:extLst>
                <c:ext xmlns:c16="http://schemas.microsoft.com/office/drawing/2014/chart" uri="{C3380CC4-5D6E-409C-BE32-E72D297353CC}">
                  <c16:uniqueId val="{00000010-797C-40D9-9229-43C3691BA635}"/>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0"/>
              <c:showBubbleSize val="0"/>
              <c:extLst>
                <c:ext xmlns:c16="http://schemas.microsoft.com/office/drawing/2014/chart" uri="{C3380CC4-5D6E-409C-BE32-E72D297353CC}">
                  <c16:uniqueId val="{00000012-797C-40D9-9229-43C3691BA635}"/>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0"/>
              <c:showBubbleSize val="0"/>
              <c:extLst>
                <c:ext xmlns:c16="http://schemas.microsoft.com/office/drawing/2014/chart" uri="{C3380CC4-5D6E-409C-BE32-E72D297353CC}">
                  <c16:uniqueId val="{00000014-797C-40D9-9229-43C3691BA63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'Regional Differences'!$D$8:$D$13</c:f>
              <c:strCache>
                <c:ptCount val="5"/>
                <c:pt idx="0">
                  <c:v>Central</c:v>
                </c:pt>
                <c:pt idx="1">
                  <c:v>East</c:v>
                </c:pt>
                <c:pt idx="2">
                  <c:v>North</c:v>
                </c:pt>
                <c:pt idx="3">
                  <c:v>South</c:v>
                </c:pt>
                <c:pt idx="4">
                  <c:v>West</c:v>
                </c:pt>
              </c:strCache>
            </c:strRef>
          </c:cat>
          <c:val>
            <c:numRef>
              <c:f>'Regional Differences'!$F$8:$F$13</c:f>
              <c:numCache>
                <c:formatCode>0.0</c:formatCode>
                <c:ptCount val="5"/>
                <c:pt idx="0">
                  <c:v>16.481300533623404</c:v>
                </c:pt>
                <c:pt idx="1">
                  <c:v>16.958698711189435</c:v>
                </c:pt>
                <c:pt idx="2">
                  <c:v>15.801917097169721</c:v>
                </c:pt>
                <c:pt idx="3">
                  <c:v>15.881529940728182</c:v>
                </c:pt>
                <c:pt idx="4">
                  <c:v>18.291532954563401</c:v>
                </c:pt>
              </c:numCache>
            </c:numRef>
          </c:val>
          <c:extLst>
            <c:ext xmlns:c16="http://schemas.microsoft.com/office/drawing/2014/chart" uri="{C3380CC4-5D6E-409C-BE32-E72D297353CC}">
              <c16:uniqueId val="{00000015-797C-40D9-9229-43C3691BA635}"/>
            </c:ext>
          </c:extLst>
        </c:ser>
        <c:ser>
          <c:idx val="2"/>
          <c:order val="2"/>
          <c:tx>
            <c:strRef>
              <c:f>'Regional Differences'!$G$6:$G$7</c:f>
              <c:strCache>
                <c:ptCount val="1"/>
                <c:pt idx="0">
                  <c:v>2</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7-797C-40D9-9229-43C3691BA635}"/>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9-797C-40D9-9229-43C3691BA635}"/>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B-797C-40D9-9229-43C3691BA635}"/>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D-797C-40D9-9229-43C3691BA635}"/>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F-797C-40D9-9229-43C3691BA635}"/>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bestFit"/>
              <c:showLegendKey val="0"/>
              <c:showVal val="0"/>
              <c:showCatName val="1"/>
              <c:showSerName val="0"/>
              <c:showPercent val="0"/>
              <c:showBubbleSize val="0"/>
              <c:extLst>
                <c:ext xmlns:c16="http://schemas.microsoft.com/office/drawing/2014/chart" uri="{C3380CC4-5D6E-409C-BE32-E72D297353CC}">
                  <c16:uniqueId val="{00000017-797C-40D9-9229-43C3691BA635}"/>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bestFit"/>
              <c:showLegendKey val="0"/>
              <c:showVal val="0"/>
              <c:showCatName val="1"/>
              <c:showSerName val="0"/>
              <c:showPercent val="0"/>
              <c:showBubbleSize val="0"/>
              <c:extLst>
                <c:ext xmlns:c16="http://schemas.microsoft.com/office/drawing/2014/chart" uri="{C3380CC4-5D6E-409C-BE32-E72D297353CC}">
                  <c16:uniqueId val="{00000019-797C-40D9-9229-43C3691BA635}"/>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bestFit"/>
              <c:showLegendKey val="0"/>
              <c:showVal val="0"/>
              <c:showCatName val="1"/>
              <c:showSerName val="0"/>
              <c:showPercent val="0"/>
              <c:showBubbleSize val="0"/>
              <c:extLst>
                <c:ext xmlns:c16="http://schemas.microsoft.com/office/drawing/2014/chart" uri="{C3380CC4-5D6E-409C-BE32-E72D297353CC}">
                  <c16:uniqueId val="{0000001B-797C-40D9-9229-43C3691BA635}"/>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bestFit"/>
              <c:showLegendKey val="0"/>
              <c:showVal val="0"/>
              <c:showCatName val="1"/>
              <c:showSerName val="0"/>
              <c:showPercent val="0"/>
              <c:showBubbleSize val="0"/>
              <c:extLst>
                <c:ext xmlns:c16="http://schemas.microsoft.com/office/drawing/2014/chart" uri="{C3380CC4-5D6E-409C-BE32-E72D297353CC}">
                  <c16:uniqueId val="{0000001D-797C-40D9-9229-43C3691BA635}"/>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bestFit"/>
              <c:showLegendKey val="0"/>
              <c:showVal val="0"/>
              <c:showCatName val="1"/>
              <c:showSerName val="0"/>
              <c:showPercent val="0"/>
              <c:showBubbleSize val="0"/>
              <c:extLst>
                <c:ext xmlns:c16="http://schemas.microsoft.com/office/drawing/2014/chart" uri="{C3380CC4-5D6E-409C-BE32-E72D297353CC}">
                  <c16:uniqueId val="{0000001F-797C-40D9-9229-43C3691BA63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bestFit"/>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'Regional Differences'!$D$8:$D$13</c:f>
              <c:strCache>
                <c:ptCount val="5"/>
                <c:pt idx="0">
                  <c:v>Central</c:v>
                </c:pt>
                <c:pt idx="1">
                  <c:v>East</c:v>
                </c:pt>
                <c:pt idx="2">
                  <c:v>North</c:v>
                </c:pt>
                <c:pt idx="3">
                  <c:v>South</c:v>
                </c:pt>
                <c:pt idx="4">
                  <c:v>West</c:v>
                </c:pt>
              </c:strCache>
            </c:strRef>
          </c:cat>
          <c:val>
            <c:numRef>
              <c:f>'Regional Differences'!$G$8:$G$13</c:f>
              <c:numCache>
                <c:formatCode>0.0</c:formatCode>
                <c:ptCount val="5"/>
                <c:pt idx="0">
                  <c:v>18.301485811639385</c:v>
                </c:pt>
                <c:pt idx="1">
                  <c:v>14.642565527133875</c:v>
                </c:pt>
                <c:pt idx="2">
                  <c:v>15.829240009110588</c:v>
                </c:pt>
                <c:pt idx="3">
                  <c:v>16.355358795755325</c:v>
                </c:pt>
                <c:pt idx="4">
                  <c:v>17.239348397075648</c:v>
                </c:pt>
              </c:numCache>
            </c:numRef>
          </c:val>
          <c:extLst>
            <c:ext xmlns:c16="http://schemas.microsoft.com/office/drawing/2014/chart" uri="{C3380CC4-5D6E-409C-BE32-E72D297353CC}">
              <c16:uniqueId val="{00000020-797C-40D9-9229-43C3691BA635}"/>
            </c:ext>
          </c:extLst>
        </c:ser>
        <c:ser>
          <c:idx val="3"/>
          <c:order val="3"/>
          <c:tx>
            <c:strRef>
              <c:f>'Regional Differences'!$H$6:$H$7</c:f>
              <c:strCache>
                <c:ptCount val="1"/>
                <c:pt idx="0">
                  <c:v>3</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2-797C-40D9-9229-43C3691BA635}"/>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4-797C-40D9-9229-43C3691BA635}"/>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6-797C-40D9-9229-43C3691BA635}"/>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8-797C-40D9-9229-43C3691BA635}"/>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A-797C-40D9-9229-43C3691BA635}"/>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0"/>
              <c:showBubbleSize val="0"/>
              <c:extLst>
                <c:ext xmlns:c16="http://schemas.microsoft.com/office/drawing/2014/chart" uri="{C3380CC4-5D6E-409C-BE32-E72D297353CC}">
                  <c16:uniqueId val="{00000022-797C-40D9-9229-43C3691BA635}"/>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0"/>
              <c:showBubbleSize val="0"/>
              <c:extLst>
                <c:ext xmlns:c16="http://schemas.microsoft.com/office/drawing/2014/chart" uri="{C3380CC4-5D6E-409C-BE32-E72D297353CC}">
                  <c16:uniqueId val="{00000024-797C-40D9-9229-43C3691BA635}"/>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0"/>
              <c:showBubbleSize val="0"/>
              <c:extLst>
                <c:ext xmlns:c16="http://schemas.microsoft.com/office/drawing/2014/chart" uri="{C3380CC4-5D6E-409C-BE32-E72D297353CC}">
                  <c16:uniqueId val="{00000026-797C-40D9-9229-43C3691BA635}"/>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0"/>
              <c:showBubbleSize val="0"/>
              <c:extLst>
                <c:ext xmlns:c16="http://schemas.microsoft.com/office/drawing/2014/chart" uri="{C3380CC4-5D6E-409C-BE32-E72D297353CC}">
                  <c16:uniqueId val="{00000028-797C-40D9-9229-43C3691BA635}"/>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0"/>
              <c:showBubbleSize val="0"/>
              <c:extLst>
                <c:ext xmlns:c16="http://schemas.microsoft.com/office/drawing/2014/chart" uri="{C3380CC4-5D6E-409C-BE32-E72D297353CC}">
                  <c16:uniqueId val="{0000002A-797C-40D9-9229-43C3691BA63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'Regional Differences'!$D$8:$D$13</c:f>
              <c:strCache>
                <c:ptCount val="5"/>
                <c:pt idx="0">
                  <c:v>Central</c:v>
                </c:pt>
                <c:pt idx="1">
                  <c:v>East</c:v>
                </c:pt>
                <c:pt idx="2">
                  <c:v>North</c:v>
                </c:pt>
                <c:pt idx="3">
                  <c:v>South</c:v>
                </c:pt>
                <c:pt idx="4">
                  <c:v>West</c:v>
                </c:pt>
              </c:strCache>
            </c:strRef>
          </c:cat>
          <c:val>
            <c:numRef>
              <c:f>'Regional Differences'!$H$8:$H$13</c:f>
              <c:numCache>
                <c:formatCode>0.0</c:formatCode>
                <c:ptCount val="5"/>
                <c:pt idx="0">
                  <c:v>18.641605814492845</c:v>
                </c:pt>
                <c:pt idx="1">
                  <c:v>16.315856271300913</c:v>
                </c:pt>
                <c:pt idx="2">
                  <c:v>18.036794453085363</c:v>
                </c:pt>
                <c:pt idx="3">
                  <c:v>17.402901755273064</c:v>
                </c:pt>
                <c:pt idx="4">
                  <c:v>14.572440546466519</c:v>
                </c:pt>
              </c:numCache>
            </c:numRef>
          </c:val>
          <c:extLst>
            <c:ext xmlns:c16="http://schemas.microsoft.com/office/drawing/2014/chart" uri="{C3380CC4-5D6E-409C-BE32-E72D297353CC}">
              <c16:uniqueId val="{0000002B-797C-40D9-9229-43C3691BA635}"/>
            </c:ext>
          </c:extLst>
        </c:ser>
        <c:ser>
          <c:idx val="4"/>
          <c:order val="4"/>
          <c:tx>
            <c:strRef>
              <c:f>'Regional Differences'!$I$6:$I$7</c:f>
              <c:strCache>
                <c:ptCount val="1"/>
                <c:pt idx="0">
                  <c:v>4</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D-797C-40D9-9229-43C3691BA635}"/>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F-797C-40D9-9229-43C3691BA635}"/>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1-797C-40D9-9229-43C3691BA635}"/>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3-797C-40D9-9229-43C3691BA635}"/>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5-797C-40D9-9229-43C3691BA635}"/>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0"/>
              <c:showBubbleSize val="0"/>
              <c:extLst>
                <c:ext xmlns:c16="http://schemas.microsoft.com/office/drawing/2014/chart" uri="{C3380CC4-5D6E-409C-BE32-E72D297353CC}">
                  <c16:uniqueId val="{0000002D-797C-40D9-9229-43C3691BA635}"/>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0"/>
              <c:showBubbleSize val="0"/>
              <c:extLst>
                <c:ext xmlns:c16="http://schemas.microsoft.com/office/drawing/2014/chart" uri="{C3380CC4-5D6E-409C-BE32-E72D297353CC}">
                  <c16:uniqueId val="{0000002F-797C-40D9-9229-43C3691BA635}"/>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0"/>
              <c:showBubbleSize val="0"/>
              <c:extLst>
                <c:ext xmlns:c16="http://schemas.microsoft.com/office/drawing/2014/chart" uri="{C3380CC4-5D6E-409C-BE32-E72D297353CC}">
                  <c16:uniqueId val="{00000031-797C-40D9-9229-43C3691BA635}"/>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0"/>
              <c:showBubbleSize val="0"/>
              <c:extLst>
                <c:ext xmlns:c16="http://schemas.microsoft.com/office/drawing/2014/chart" uri="{C3380CC4-5D6E-409C-BE32-E72D297353CC}">
                  <c16:uniqueId val="{00000033-797C-40D9-9229-43C3691BA635}"/>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0"/>
              <c:showBubbleSize val="0"/>
              <c:extLst>
                <c:ext xmlns:c16="http://schemas.microsoft.com/office/drawing/2014/chart" uri="{C3380CC4-5D6E-409C-BE32-E72D297353CC}">
                  <c16:uniqueId val="{00000035-797C-40D9-9229-43C3691BA63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'Regional Differences'!$D$8:$D$13</c:f>
              <c:strCache>
                <c:ptCount val="5"/>
                <c:pt idx="0">
                  <c:v>Central</c:v>
                </c:pt>
                <c:pt idx="1">
                  <c:v>East</c:v>
                </c:pt>
                <c:pt idx="2">
                  <c:v>North</c:v>
                </c:pt>
                <c:pt idx="3">
                  <c:v>South</c:v>
                </c:pt>
                <c:pt idx="4">
                  <c:v>West</c:v>
                </c:pt>
              </c:strCache>
            </c:strRef>
          </c:cat>
          <c:val>
            <c:numRef>
              <c:f>'Regional Differences'!$I$8:$I$13</c:f>
              <c:numCache>
                <c:formatCode>0.0</c:formatCode>
                <c:ptCount val="5"/>
                <c:pt idx="0">
                  <c:v>15.479091213039576</c:v>
                </c:pt>
                <c:pt idx="1">
                  <c:v>16.242070296195429</c:v>
                </c:pt>
                <c:pt idx="2">
                  <c:v>17.062630374989162</c:v>
                </c:pt>
                <c:pt idx="3">
                  <c:v>18.503605239602567</c:v>
                </c:pt>
                <c:pt idx="4">
                  <c:v>18.887081936755663</c:v>
                </c:pt>
              </c:numCache>
            </c:numRef>
          </c:val>
          <c:extLst>
            <c:ext xmlns:c16="http://schemas.microsoft.com/office/drawing/2014/chart" uri="{C3380CC4-5D6E-409C-BE32-E72D297353CC}">
              <c16:uniqueId val="{00000036-797C-40D9-9229-43C3691BA635}"/>
            </c:ext>
          </c:extLst>
        </c:ser>
        <c:dLbls>
          <c:dLblPos val="bestFit"/>
          <c:showLegendKey val="0"/>
          <c:showVal val="0"/>
          <c:showCatName val="1"/>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[Solution.xlsx]Correlation of Sugar and Screen!Correlation</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Correlation</a:t>
            </a:r>
            <a:r>
              <a:rPr lang="en-IN" baseline="0"/>
              <a:t> </a:t>
            </a:r>
            <a:r>
              <a:rPr lang="en-IN" sz="1400" baseline="0"/>
              <a:t>Status</a:t>
            </a:r>
            <a:endParaRPr lang="en-IN"/>
          </a:p>
        </c:rich>
      </c:tx>
      <c:layout>
        <c:manualLayout>
          <c:xMode val="edge"/>
          <c:yMode val="edge"/>
          <c:x val="3.7194444444444447E-2"/>
          <c:y val="3.24074074074074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x"/>
          <c:size val="5"/>
          <c:spPr>
            <a:no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'Correlation of Sugar and Screen'!$E$6:$E$8</c:f>
              <c:strCache>
                <c:ptCount val="1"/>
                <c:pt idx="0">
                  <c:v>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'Correlation of Sugar and Screen'!$D$9:$D$11</c:f>
              <c:strCache>
                <c:ptCount val="2"/>
                <c:pt idx="0">
                  <c:v>Healthy Weight</c:v>
                </c:pt>
                <c:pt idx="1">
                  <c:v>Under Weight</c:v>
                </c:pt>
              </c:strCache>
            </c:strRef>
          </c:cat>
          <c:val>
            <c:numRef>
              <c:f>'Correlation of Sugar and Screen'!$E$9:$E$11</c:f>
              <c:numCache>
                <c:formatCode>0.0</c:formatCode>
                <c:ptCount val="2"/>
                <c:pt idx="0">
                  <c:v>0.7400000000000001</c:v>
                </c:pt>
                <c:pt idx="1">
                  <c:v>0.74583333333333324</c:v>
                </c:pt>
              </c:numCache>
            </c:numRef>
          </c:val>
          <c:extLst>
            <c:ext xmlns:c16="http://schemas.microsoft.com/office/drawing/2014/chart" uri="{C3380CC4-5D6E-409C-BE32-E72D297353CC}">
              <c16:uniqueId val="{00000000-47E4-4CF5-B6C3-1C6BA50DB2FB}"/>
            </c:ext>
          </c:extLst>
        </c:ser>
        <c:ser>
          <c:idx val="1"/>
          <c:order val="1"/>
          <c:tx>
            <c:strRef>
              <c:f>'Correlation of Sugar and Screen'!$F$6:$F$8</c:f>
              <c:strCache>
                <c:ptCount val="1"/>
                <c:pt idx="0">
                  <c:v>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'Correlation of Sugar and Screen'!$D$9:$D$11</c:f>
              <c:strCache>
                <c:ptCount val="2"/>
                <c:pt idx="0">
                  <c:v>Healthy Weight</c:v>
                </c:pt>
                <c:pt idx="1">
                  <c:v>Under Weight</c:v>
                </c:pt>
              </c:strCache>
            </c:strRef>
          </c:cat>
          <c:val>
            <c:numRef>
              <c:f>'Correlation of Sugar and Screen'!$F$9:$F$11</c:f>
              <c:numCache>
                <c:formatCode>0.0</c:formatCode>
                <c:ptCount val="2"/>
                <c:pt idx="0">
                  <c:v>1.583333333333333</c:v>
                </c:pt>
                <c:pt idx="1">
                  <c:v>1.2562499999999999</c:v>
                </c:pt>
              </c:numCache>
            </c:numRef>
          </c:val>
          <c:extLst>
            <c:ext xmlns:c16="http://schemas.microsoft.com/office/drawing/2014/chart" uri="{C3380CC4-5D6E-409C-BE32-E72D297353CC}">
              <c16:uniqueId val="{00000001-47E4-4CF5-B6C3-1C6BA50DB2FB}"/>
            </c:ext>
          </c:extLst>
        </c:ser>
        <c:ser>
          <c:idx val="2"/>
          <c:order val="2"/>
          <c:tx>
            <c:strRef>
              <c:f>'Correlation of Sugar and Screen'!$G$6:$G$8</c:f>
              <c:strCache>
                <c:ptCount val="1"/>
                <c:pt idx="0">
                  <c:v>2</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'Correlation of Sugar and Screen'!$D$9:$D$11</c:f>
              <c:strCache>
                <c:ptCount val="2"/>
                <c:pt idx="0">
                  <c:v>Healthy Weight</c:v>
                </c:pt>
                <c:pt idx="1">
                  <c:v>Under Weight</c:v>
                </c:pt>
              </c:strCache>
            </c:strRef>
          </c:cat>
          <c:val>
            <c:numRef>
              <c:f>'Correlation of Sugar and Screen'!$G$9:$G$11</c:f>
              <c:numCache>
                <c:formatCode>0.0</c:formatCode>
                <c:ptCount val="2"/>
                <c:pt idx="0">
                  <c:v>1.8285714285714287</c:v>
                </c:pt>
                <c:pt idx="1">
                  <c:v>1.6840000000000002</c:v>
                </c:pt>
              </c:numCache>
            </c:numRef>
          </c:val>
          <c:extLst>
            <c:ext xmlns:c16="http://schemas.microsoft.com/office/drawing/2014/chart" uri="{C3380CC4-5D6E-409C-BE32-E72D297353CC}">
              <c16:uniqueId val="{00000002-47E4-4CF5-B6C3-1C6BA50DB2FB}"/>
            </c:ext>
          </c:extLst>
        </c:ser>
        <c:ser>
          <c:idx val="3"/>
          <c:order val="3"/>
          <c:tx>
            <c:strRef>
              <c:f>'Correlation of Sugar and Screen'!$H$6:$H$8</c:f>
              <c:strCache>
                <c:ptCount val="1"/>
                <c:pt idx="0">
                  <c:v>3</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'Correlation of Sugar and Screen'!$D$9:$D$11</c:f>
              <c:strCache>
                <c:ptCount val="2"/>
                <c:pt idx="0">
                  <c:v>Healthy Weight</c:v>
                </c:pt>
                <c:pt idx="1">
                  <c:v>Under Weight</c:v>
                </c:pt>
              </c:strCache>
            </c:strRef>
          </c:cat>
          <c:val>
            <c:numRef>
              <c:f>'Correlation of Sugar and Screen'!$H$9:$H$11</c:f>
              <c:numCache>
                <c:formatCode>0.0</c:formatCode>
                <c:ptCount val="2"/>
                <c:pt idx="0">
                  <c:v>2.4166666666666665</c:v>
                </c:pt>
                <c:pt idx="1">
                  <c:v>1.6909090909090907</c:v>
                </c:pt>
              </c:numCache>
            </c:numRef>
          </c:val>
          <c:extLst>
            <c:ext xmlns:c16="http://schemas.microsoft.com/office/drawing/2014/chart" uri="{C3380CC4-5D6E-409C-BE32-E72D297353CC}">
              <c16:uniqueId val="{00000003-47E4-4CF5-B6C3-1C6BA50DB2FB}"/>
            </c:ext>
          </c:extLst>
        </c:ser>
        <c:dLbls>
          <c:showLegendKey val="0"/>
          <c:showVal val="0"/>
          <c:showCatName val="0"/>
          <c:showSerName val="0"/>
          <c:showPercent val="0"/>
          <c:showBubbleSize val="0"/>
        </c:dLbls>
        <c:gapWidth val="115"/>
        <c:overlap val="-20"/>
        <c:axId val="148068688"/>
        <c:axId val="148066288"/>
      </c:barChart>
      <c:catAx>
        <c:axId val="148068688"/>
        <c:scaling>
          <c:orientation val="minMax"/>
        </c:scaling>
        <c:delete val="0"/>
        <c:axPos val="l"/>
        <c:title>
          <c:tx>
            <c:rich>
              <a:bodyPr rot="-5400000" spcFirstLastPara="1" vertOverflow="ellipsis" vert="horz" wrap="square" anchor="ctr" anchorCtr="1"/>
              <a:lstStyle/>
              <a:p>
                <a:pPr>
                  <a:defRPr sz="900" b="1" i="0" u="none" strike="noStrike" kern="1200" cap="none" baseline="0">
                    <a:solidFill>
                      <a:schemeClr val="lt1">
                        <a:lumMod val="85000"/>
                      </a:schemeClr>
                    </a:solidFill>
                    <a:latin typeface="+mn-lt"/>
                    <a:ea typeface="+mn-ea"/>
                    <a:cs typeface="+mn-cs"/>
                  </a:defRPr>
                </a:pPr>
                <a:r>
                  <a:rPr lang="en-IN" b="0" cap="none" baseline="0"/>
                  <a:t>health status</a:t>
                </a:r>
              </a:p>
            </c:rich>
          </c:tx>
          <c:layout>
            <c:manualLayout>
              <c:xMode val="edge"/>
              <c:yMode val="edge"/>
              <c:x val="1.3888888888888888E-2"/>
              <c:y val="0.35932086614173231"/>
            </c:manualLayout>
          </c:layout>
          <c:overlay val="0"/>
          <c:spPr>
            <a:noFill/>
            <a:ln>
              <a:noFill/>
            </a:ln>
            <a:effectLst/>
          </c:spPr>
          <c:txPr>
            <a:bodyPr rot="-5400000" spcFirstLastPara="1" vertOverflow="ellipsis" vert="horz" wrap="square" anchor="ctr" anchorCtr="1"/>
            <a:lstStyle/>
            <a:p>
              <a:pPr>
                <a:defRPr sz="900" b="1" i="0" u="none" strike="noStrike" kern="1200" cap="none"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066288"/>
        <c:crosses val="autoZero"/>
        <c:auto val="1"/>
        <c:lblAlgn val="ctr"/>
        <c:lblOffset val="100"/>
        <c:noMultiLvlLbl val="0"/>
      </c:catAx>
      <c:valAx>
        <c:axId val="148066288"/>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Avg</a:t>
                </a:r>
                <a:r>
                  <a:rPr lang="en-IN" baseline="0"/>
                  <a:t> screen time</a:t>
                </a:r>
                <a:endParaRPr lang="en-IN"/>
              </a:p>
            </c:rich>
          </c:tx>
          <c:layout>
            <c:manualLayout>
              <c:xMode val="edge"/>
              <c:yMode val="edge"/>
              <c:x val="0.40053412073490813"/>
              <c:y val="0.80157334499854171"/>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068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pivotOptions>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693420</xdr:colOff>
      <xdr:row>4</xdr:row>
      <xdr:rowOff>102870</xdr:rowOff>
    </xdr:from>
    <xdr:to>
      <xdr:col>13</xdr:col>
      <xdr:colOff>853440</xdr:colOff>
      <xdr:row>28</xdr:row>
      <xdr:rowOff>15240</xdr:rowOff>
    </xdr:to>
    <xdr:graphicFrame macro="">
      <xdr:nvGraphicFramePr>
        <xdr:cNvPr id="3" name="Chart 2">
          <a:extLst>
            <a:ext uri="{FF2B5EF4-FFF2-40B4-BE49-F238E27FC236}">
              <a16:creationId xmlns:a16="http://schemas.microsoft.com/office/drawing/2014/main" id="{B173664A-F288-BB5E-2CB6-0A7C37DEC6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53340</xdr:colOff>
      <xdr:row>3</xdr:row>
      <xdr:rowOff>83821</xdr:rowOff>
    </xdr:from>
    <xdr:to>
      <xdr:col>10</xdr:col>
      <xdr:colOff>0</xdr:colOff>
      <xdr:row>11</xdr:row>
      <xdr:rowOff>106680</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DE4EF1B1-0E5C-4DB9-6A57-D59800C4830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882140" y="632461"/>
              <a:ext cx="3810000" cy="1485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137160</xdr:colOff>
      <xdr:row>3</xdr:row>
      <xdr:rowOff>114300</xdr:rowOff>
    </xdr:from>
    <xdr:to>
      <xdr:col>17</xdr:col>
      <xdr:colOff>441960</xdr:colOff>
      <xdr:row>20</xdr:row>
      <xdr:rowOff>72390</xdr:rowOff>
    </xdr:to>
    <xdr:graphicFrame macro="">
      <xdr:nvGraphicFramePr>
        <xdr:cNvPr id="3" name="Chart 2">
          <a:extLst>
            <a:ext uri="{FF2B5EF4-FFF2-40B4-BE49-F238E27FC236}">
              <a16:creationId xmlns:a16="http://schemas.microsoft.com/office/drawing/2014/main" id="{9045C740-70CB-52F3-1EAE-8B7F644DB6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76200</xdr:colOff>
      <xdr:row>4</xdr:row>
      <xdr:rowOff>41910</xdr:rowOff>
    </xdr:from>
    <xdr:to>
      <xdr:col>24</xdr:col>
      <xdr:colOff>198120</xdr:colOff>
      <xdr:row>19</xdr:row>
      <xdr:rowOff>41910</xdr:rowOff>
    </xdr:to>
    <xdr:graphicFrame macro="">
      <xdr:nvGraphicFramePr>
        <xdr:cNvPr id="2" name="Chart 1">
          <a:extLst>
            <a:ext uri="{FF2B5EF4-FFF2-40B4-BE49-F238E27FC236}">
              <a16:creationId xmlns:a16="http://schemas.microsoft.com/office/drawing/2014/main" id="{A8BB86DA-20C8-F631-5E01-C8EAE8B2C5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297180</xdr:colOff>
      <xdr:row>4</xdr:row>
      <xdr:rowOff>125730</xdr:rowOff>
    </xdr:from>
    <xdr:to>
      <xdr:col>18</xdr:col>
      <xdr:colOff>320040</xdr:colOff>
      <xdr:row>19</xdr:row>
      <xdr:rowOff>106680</xdr:rowOff>
    </xdr:to>
    <xdr:graphicFrame macro="">
      <xdr:nvGraphicFramePr>
        <xdr:cNvPr id="2" name="Chart 1">
          <a:extLst>
            <a:ext uri="{FF2B5EF4-FFF2-40B4-BE49-F238E27FC236}">
              <a16:creationId xmlns:a16="http://schemas.microsoft.com/office/drawing/2014/main" id="{7E44AB28-01D4-FD09-7F44-3B545612DF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22860</xdr:colOff>
      <xdr:row>1</xdr:row>
      <xdr:rowOff>22860</xdr:rowOff>
    </xdr:from>
    <xdr:to>
      <xdr:col>21</xdr:col>
      <xdr:colOff>586740</xdr:colOff>
      <xdr:row>4</xdr:row>
      <xdr:rowOff>106680</xdr:rowOff>
    </xdr:to>
    <xdr:sp macro="" textlink="">
      <xdr:nvSpPr>
        <xdr:cNvPr id="2" name="Rectangle 1">
          <a:extLst>
            <a:ext uri="{FF2B5EF4-FFF2-40B4-BE49-F238E27FC236}">
              <a16:creationId xmlns:a16="http://schemas.microsoft.com/office/drawing/2014/main" id="{4ECA3B1D-7690-95B7-B7DD-0D79C48C567A}"/>
            </a:ext>
          </a:extLst>
        </xdr:cNvPr>
        <xdr:cNvSpPr/>
      </xdr:nvSpPr>
      <xdr:spPr>
        <a:xfrm>
          <a:off x="1242060" y="205740"/>
          <a:ext cx="12146280" cy="632460"/>
        </a:xfrm>
        <a:prstGeom prst="rect">
          <a:avLst/>
        </a:prstGeom>
        <a:solidFill>
          <a:srgbClr val="C00000"/>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3600" b="1">
              <a:solidFill>
                <a:schemeClr val="bg1"/>
              </a:solidFill>
            </a:rPr>
            <a:t>Child</a:t>
          </a:r>
          <a:r>
            <a:rPr lang="en-IN" sz="3600" b="1" baseline="0">
              <a:solidFill>
                <a:schemeClr val="bg1"/>
              </a:solidFill>
            </a:rPr>
            <a:t> Health Analysis</a:t>
          </a:r>
          <a:endParaRPr lang="en-IN" sz="3600" b="1">
            <a:solidFill>
              <a:schemeClr val="bg1"/>
            </a:solidFill>
          </a:endParaRPr>
        </a:p>
      </xdr:txBody>
    </xdr:sp>
    <xdr:clientData/>
  </xdr:twoCellAnchor>
  <xdr:twoCellAnchor>
    <xdr:from>
      <xdr:col>7</xdr:col>
      <xdr:colOff>144780</xdr:colOff>
      <xdr:row>5</xdr:row>
      <xdr:rowOff>87630</xdr:rowOff>
    </xdr:from>
    <xdr:to>
      <xdr:col>9</xdr:col>
      <xdr:colOff>15240</xdr:colOff>
      <xdr:row>8</xdr:row>
      <xdr:rowOff>19050</xdr:rowOff>
    </xdr:to>
    <xdr:sp macro="" textlink="">
      <xdr:nvSpPr>
        <xdr:cNvPr id="3" name="Rectangle: Rounded Corners 2">
          <a:extLst>
            <a:ext uri="{FF2B5EF4-FFF2-40B4-BE49-F238E27FC236}">
              <a16:creationId xmlns:a16="http://schemas.microsoft.com/office/drawing/2014/main" id="{456146BE-25D4-A71D-4410-3F7304CDE2A0}"/>
            </a:ext>
          </a:extLst>
        </xdr:cNvPr>
        <xdr:cNvSpPr/>
      </xdr:nvSpPr>
      <xdr:spPr>
        <a:xfrm>
          <a:off x="4411980" y="1002030"/>
          <a:ext cx="1089660" cy="48006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Total Children</a:t>
          </a:r>
          <a:br>
            <a:rPr lang="en-IN" sz="1100" b="1"/>
          </a:br>
          <a:r>
            <a:rPr lang="en-IN" sz="1100" b="1"/>
            <a:t>200</a:t>
          </a:r>
        </a:p>
      </xdr:txBody>
    </xdr:sp>
    <xdr:clientData/>
  </xdr:twoCellAnchor>
  <xdr:twoCellAnchor>
    <xdr:from>
      <xdr:col>9</xdr:col>
      <xdr:colOff>161290</xdr:colOff>
      <xdr:row>5</xdr:row>
      <xdr:rowOff>87630</xdr:rowOff>
    </xdr:from>
    <xdr:to>
      <xdr:col>11</xdr:col>
      <xdr:colOff>31750</xdr:colOff>
      <xdr:row>8</xdr:row>
      <xdr:rowOff>19050</xdr:rowOff>
    </xdr:to>
    <xdr:sp macro="" textlink="">
      <xdr:nvSpPr>
        <xdr:cNvPr id="4" name="Rectangle: Rounded Corners 3">
          <a:extLst>
            <a:ext uri="{FF2B5EF4-FFF2-40B4-BE49-F238E27FC236}">
              <a16:creationId xmlns:a16="http://schemas.microsoft.com/office/drawing/2014/main" id="{F4D5F11A-AF46-7AC0-75FF-1A47B73B45A5}"/>
            </a:ext>
          </a:extLst>
        </xdr:cNvPr>
        <xdr:cNvSpPr/>
      </xdr:nvSpPr>
      <xdr:spPr>
        <a:xfrm>
          <a:off x="5647690" y="1002030"/>
          <a:ext cx="1089660" cy="48006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Under Weight</a:t>
          </a:r>
          <a:br>
            <a:rPr lang="en-IN" sz="1100" b="1"/>
          </a:br>
          <a:r>
            <a:rPr lang="en-IN" sz="1100" b="1"/>
            <a:t>76</a:t>
          </a:r>
        </a:p>
      </xdr:txBody>
    </xdr:sp>
    <xdr:clientData/>
  </xdr:twoCellAnchor>
  <xdr:twoCellAnchor>
    <xdr:from>
      <xdr:col>11</xdr:col>
      <xdr:colOff>177800</xdr:colOff>
      <xdr:row>5</xdr:row>
      <xdr:rowOff>87630</xdr:rowOff>
    </xdr:from>
    <xdr:to>
      <xdr:col>13</xdr:col>
      <xdr:colOff>139700</xdr:colOff>
      <xdr:row>8</xdr:row>
      <xdr:rowOff>19050</xdr:rowOff>
    </xdr:to>
    <xdr:sp macro="" textlink="">
      <xdr:nvSpPr>
        <xdr:cNvPr id="5" name="Rectangle: Rounded Corners 4">
          <a:extLst>
            <a:ext uri="{FF2B5EF4-FFF2-40B4-BE49-F238E27FC236}">
              <a16:creationId xmlns:a16="http://schemas.microsoft.com/office/drawing/2014/main" id="{3FB1DD65-285F-1872-FED9-9FB0B087F691}"/>
            </a:ext>
          </a:extLst>
        </xdr:cNvPr>
        <xdr:cNvSpPr/>
      </xdr:nvSpPr>
      <xdr:spPr>
        <a:xfrm>
          <a:off x="6883400" y="1002030"/>
          <a:ext cx="1181100" cy="48006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Healthy Weight</a:t>
          </a:r>
          <a:br>
            <a:rPr lang="en-IN" sz="1100" b="1"/>
          </a:br>
          <a:r>
            <a:rPr lang="en-IN" sz="1100" b="1"/>
            <a:t>24</a:t>
          </a:r>
        </a:p>
      </xdr:txBody>
    </xdr:sp>
    <xdr:clientData/>
  </xdr:twoCellAnchor>
  <xdr:twoCellAnchor>
    <xdr:from>
      <xdr:col>13</xdr:col>
      <xdr:colOff>285750</xdr:colOff>
      <xdr:row>5</xdr:row>
      <xdr:rowOff>87630</xdr:rowOff>
    </xdr:from>
    <xdr:to>
      <xdr:col>15</xdr:col>
      <xdr:colOff>247650</xdr:colOff>
      <xdr:row>8</xdr:row>
      <xdr:rowOff>19050</xdr:rowOff>
    </xdr:to>
    <xdr:sp macro="" textlink="">
      <xdr:nvSpPr>
        <xdr:cNvPr id="6" name="Rectangle: Rounded Corners 5">
          <a:extLst>
            <a:ext uri="{FF2B5EF4-FFF2-40B4-BE49-F238E27FC236}">
              <a16:creationId xmlns:a16="http://schemas.microsoft.com/office/drawing/2014/main" id="{D9974C3B-3F54-0E18-F4E2-86174AE1ECE9}"/>
            </a:ext>
          </a:extLst>
        </xdr:cNvPr>
        <xdr:cNvSpPr/>
      </xdr:nvSpPr>
      <xdr:spPr>
        <a:xfrm>
          <a:off x="8210550" y="1002030"/>
          <a:ext cx="1181100" cy="48006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Avg  BMI</a:t>
          </a:r>
          <a:br>
            <a:rPr lang="en-IN" sz="1100" b="1"/>
          </a:br>
          <a:r>
            <a:rPr lang="en-IN" sz="1100" b="1"/>
            <a:t>17.1</a:t>
          </a:r>
        </a:p>
      </xdr:txBody>
    </xdr:sp>
    <xdr:clientData/>
  </xdr:twoCellAnchor>
  <xdr:twoCellAnchor>
    <xdr:from>
      <xdr:col>15</xdr:col>
      <xdr:colOff>393700</xdr:colOff>
      <xdr:row>5</xdr:row>
      <xdr:rowOff>87630</xdr:rowOff>
    </xdr:from>
    <xdr:to>
      <xdr:col>17</xdr:col>
      <xdr:colOff>264160</xdr:colOff>
      <xdr:row>8</xdr:row>
      <xdr:rowOff>19050</xdr:rowOff>
    </xdr:to>
    <xdr:sp macro="" textlink="">
      <xdr:nvSpPr>
        <xdr:cNvPr id="7" name="Rectangle: Rounded Corners 6">
          <a:extLst>
            <a:ext uri="{FF2B5EF4-FFF2-40B4-BE49-F238E27FC236}">
              <a16:creationId xmlns:a16="http://schemas.microsoft.com/office/drawing/2014/main" id="{23B75D8B-CE7E-3044-91E8-9D6625EE3DB3}"/>
            </a:ext>
          </a:extLst>
        </xdr:cNvPr>
        <xdr:cNvSpPr/>
      </xdr:nvSpPr>
      <xdr:spPr>
        <a:xfrm>
          <a:off x="9537700" y="1002030"/>
          <a:ext cx="1089660" cy="48006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Avg</a:t>
          </a:r>
          <a:r>
            <a:rPr lang="en-IN" sz="1100" b="1" baseline="0"/>
            <a:t>  </a:t>
          </a:r>
          <a:r>
            <a:rPr lang="en-IN" sz="1100" b="1"/>
            <a:t>Weight</a:t>
          </a:r>
          <a:br>
            <a:rPr lang="en-IN" sz="1100" b="1"/>
          </a:br>
          <a:r>
            <a:rPr lang="en-IN" sz="1100" b="1"/>
            <a:t>76                                   </a:t>
          </a:r>
        </a:p>
      </xdr:txBody>
    </xdr:sp>
    <xdr:clientData/>
  </xdr:twoCellAnchor>
  <xdr:twoCellAnchor>
    <xdr:from>
      <xdr:col>17</xdr:col>
      <xdr:colOff>410210</xdr:colOff>
      <xdr:row>5</xdr:row>
      <xdr:rowOff>87630</xdr:rowOff>
    </xdr:from>
    <xdr:to>
      <xdr:col>19</xdr:col>
      <xdr:colOff>280670</xdr:colOff>
      <xdr:row>8</xdr:row>
      <xdr:rowOff>19050</xdr:rowOff>
    </xdr:to>
    <xdr:sp macro="" textlink="">
      <xdr:nvSpPr>
        <xdr:cNvPr id="8" name="Rectangle: Rounded Corners 7">
          <a:extLst>
            <a:ext uri="{FF2B5EF4-FFF2-40B4-BE49-F238E27FC236}">
              <a16:creationId xmlns:a16="http://schemas.microsoft.com/office/drawing/2014/main" id="{00661DF0-585E-98EC-BFA0-4A0882CBBCF1}"/>
            </a:ext>
          </a:extLst>
        </xdr:cNvPr>
        <xdr:cNvSpPr/>
      </xdr:nvSpPr>
      <xdr:spPr>
        <a:xfrm>
          <a:off x="10773410" y="1002030"/>
          <a:ext cx="1089660" cy="48006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Avg</a:t>
          </a:r>
          <a:r>
            <a:rPr lang="en-IN" sz="1100" b="1" baseline="0"/>
            <a:t>  H</a:t>
          </a:r>
          <a:r>
            <a:rPr lang="en-IN" sz="1100" b="1"/>
            <a:t>eight</a:t>
          </a:r>
          <a:br>
            <a:rPr lang="en-IN" sz="1100" b="1"/>
          </a:br>
          <a:r>
            <a:rPr lang="en-IN" sz="1100" b="1"/>
            <a:t>103.2</a:t>
          </a:r>
          <a:r>
            <a:rPr lang="en-IN" sz="1100" b="1" baseline="0"/>
            <a:t> </a:t>
          </a:r>
          <a:r>
            <a:rPr lang="en-IN" sz="1100" b="0" baseline="0"/>
            <a:t>cm</a:t>
          </a:r>
          <a:r>
            <a:rPr lang="en-IN" sz="1100" b="1"/>
            <a:t>                                  </a:t>
          </a:r>
        </a:p>
      </xdr:txBody>
    </xdr:sp>
    <xdr:clientData/>
  </xdr:twoCellAnchor>
  <xdr:twoCellAnchor>
    <xdr:from>
      <xdr:col>14</xdr:col>
      <xdr:colOff>121920</xdr:colOff>
      <xdr:row>8</xdr:row>
      <xdr:rowOff>114300</xdr:rowOff>
    </xdr:from>
    <xdr:to>
      <xdr:col>21</xdr:col>
      <xdr:colOff>487680</xdr:colOff>
      <xdr:row>20</xdr:row>
      <xdr:rowOff>0</xdr:rowOff>
    </xdr:to>
    <xdr:graphicFrame macro="">
      <xdr:nvGraphicFramePr>
        <xdr:cNvPr id="12" name="Chart 11">
          <a:extLst>
            <a:ext uri="{FF2B5EF4-FFF2-40B4-BE49-F238E27FC236}">
              <a16:creationId xmlns:a16="http://schemas.microsoft.com/office/drawing/2014/main" id="{5ADD4CD2-A8C5-4907-AA33-0E820692E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411480</xdr:colOff>
      <xdr:row>20</xdr:row>
      <xdr:rowOff>160020</xdr:rowOff>
    </xdr:from>
    <xdr:to>
      <xdr:col>21</xdr:col>
      <xdr:colOff>495300</xdr:colOff>
      <xdr:row>34</xdr:row>
      <xdr:rowOff>68580</xdr:rowOff>
    </xdr:to>
    <xdr:graphicFrame macro="">
      <xdr:nvGraphicFramePr>
        <xdr:cNvPr id="13" name="Chart 12">
          <a:extLst>
            <a:ext uri="{FF2B5EF4-FFF2-40B4-BE49-F238E27FC236}">
              <a16:creationId xmlns:a16="http://schemas.microsoft.com/office/drawing/2014/main" id="{987DF701-9F99-40A5-A00A-D47D310285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137160</xdr:colOff>
      <xdr:row>8</xdr:row>
      <xdr:rowOff>114300</xdr:rowOff>
    </xdr:from>
    <xdr:to>
      <xdr:col>13</xdr:col>
      <xdr:colOff>533400</xdr:colOff>
      <xdr:row>20</xdr:row>
      <xdr:rowOff>22860</xdr:rowOff>
    </xdr:to>
    <xdr:graphicFrame macro="">
      <xdr:nvGraphicFramePr>
        <xdr:cNvPr id="15" name="Chart 14">
          <a:extLst>
            <a:ext uri="{FF2B5EF4-FFF2-40B4-BE49-F238E27FC236}">
              <a16:creationId xmlns:a16="http://schemas.microsoft.com/office/drawing/2014/main" id="{E08E466D-E15A-4DC5-89F2-4A380C79DE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259080</xdr:colOff>
      <xdr:row>5</xdr:row>
      <xdr:rowOff>114301</xdr:rowOff>
    </xdr:from>
    <xdr:to>
      <xdr:col>5</xdr:col>
      <xdr:colOff>335280</xdr:colOff>
      <xdr:row>10</xdr:row>
      <xdr:rowOff>129541</xdr:rowOff>
    </xdr:to>
    <mc:AlternateContent xmlns:mc="http://schemas.openxmlformats.org/markup-compatibility/2006">
      <mc:Choice xmlns:a14="http://schemas.microsoft.com/office/drawing/2010/main" Requires="a14">
        <xdr:graphicFrame macro="">
          <xdr:nvGraphicFramePr>
            <xdr:cNvPr id="16" name="Gender">
              <a:extLst>
                <a:ext uri="{FF2B5EF4-FFF2-40B4-BE49-F238E27FC236}">
                  <a16:creationId xmlns:a16="http://schemas.microsoft.com/office/drawing/2014/main" id="{04FDBE3C-5346-3A22-5629-A6D0EB8B305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478280" y="1028701"/>
              <a:ext cx="1905000"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426720</xdr:colOff>
      <xdr:row>5</xdr:row>
      <xdr:rowOff>87630</xdr:rowOff>
    </xdr:from>
    <xdr:to>
      <xdr:col>21</xdr:col>
      <xdr:colOff>297180</xdr:colOff>
      <xdr:row>8</xdr:row>
      <xdr:rowOff>19050</xdr:rowOff>
    </xdr:to>
    <xdr:sp macro="" textlink="">
      <xdr:nvSpPr>
        <xdr:cNvPr id="17" name="Rectangle: Rounded Corners 16">
          <a:extLst>
            <a:ext uri="{FF2B5EF4-FFF2-40B4-BE49-F238E27FC236}">
              <a16:creationId xmlns:a16="http://schemas.microsoft.com/office/drawing/2014/main" id="{2451891C-504B-D75C-CD9C-DA6C42770311}"/>
            </a:ext>
          </a:extLst>
        </xdr:cNvPr>
        <xdr:cNvSpPr/>
      </xdr:nvSpPr>
      <xdr:spPr>
        <a:xfrm>
          <a:off x="12009120" y="1002030"/>
          <a:ext cx="1089660" cy="48006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Avg</a:t>
          </a:r>
          <a:r>
            <a:rPr lang="en-IN" sz="1100" b="1" baseline="0"/>
            <a:t>  Age</a:t>
          </a:r>
          <a:br>
            <a:rPr lang="en-IN" sz="1100" b="1"/>
          </a:br>
          <a:r>
            <a:rPr lang="en-IN" sz="1100" b="1"/>
            <a:t>41.5                                  </a:t>
          </a:r>
        </a:p>
      </xdr:txBody>
    </xdr:sp>
    <xdr:clientData/>
  </xdr:twoCellAnchor>
  <xdr:twoCellAnchor editAs="oneCell">
    <xdr:from>
      <xdr:col>2</xdr:col>
      <xdr:colOff>243840</xdr:colOff>
      <xdr:row>11</xdr:row>
      <xdr:rowOff>30481</xdr:rowOff>
    </xdr:from>
    <xdr:to>
      <xdr:col>5</xdr:col>
      <xdr:colOff>320040</xdr:colOff>
      <xdr:row>16</xdr:row>
      <xdr:rowOff>53341</xdr:rowOff>
    </xdr:to>
    <mc:AlternateContent xmlns:mc="http://schemas.openxmlformats.org/markup-compatibility/2006">
      <mc:Choice xmlns:a14="http://schemas.microsoft.com/office/drawing/2010/main" Requires="a14">
        <xdr:graphicFrame macro="">
          <xdr:nvGraphicFramePr>
            <xdr:cNvPr id="18" name=" Health_Status">
              <a:extLst>
                <a:ext uri="{FF2B5EF4-FFF2-40B4-BE49-F238E27FC236}">
                  <a16:creationId xmlns:a16="http://schemas.microsoft.com/office/drawing/2014/main" id="{7DC499C2-D25B-E728-5EC9-FB55A1958122}"/>
                </a:ext>
              </a:extLst>
            </xdr:cNvPr>
            <xdr:cNvGraphicFramePr/>
          </xdr:nvGraphicFramePr>
          <xdr:xfrm>
            <a:off x="0" y="0"/>
            <a:ext cx="0" cy="0"/>
          </xdr:xfrm>
          <a:graphic>
            <a:graphicData uri="http://schemas.microsoft.com/office/drawing/2010/slicer">
              <sle:slicer xmlns:sle="http://schemas.microsoft.com/office/drawing/2010/slicer" name=" Health_Status"/>
            </a:graphicData>
          </a:graphic>
        </xdr:graphicFrame>
      </mc:Choice>
      <mc:Fallback>
        <xdr:sp macro="" textlink="">
          <xdr:nvSpPr>
            <xdr:cNvPr id="0" name=""/>
            <xdr:cNvSpPr>
              <a:spLocks noTextEdit="1"/>
            </xdr:cNvSpPr>
          </xdr:nvSpPr>
          <xdr:spPr>
            <a:xfrm>
              <a:off x="1463040" y="2042161"/>
              <a:ext cx="1905000" cy="937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236220</xdr:colOff>
      <xdr:row>16</xdr:row>
      <xdr:rowOff>129541</xdr:rowOff>
    </xdr:from>
    <xdr:to>
      <xdr:col>5</xdr:col>
      <xdr:colOff>304800</xdr:colOff>
      <xdr:row>26</xdr:row>
      <xdr:rowOff>68581</xdr:rowOff>
    </xdr:to>
    <mc:AlternateContent xmlns:mc="http://schemas.openxmlformats.org/markup-compatibility/2006">
      <mc:Choice xmlns:a14="http://schemas.microsoft.com/office/drawing/2010/main" Requires="a14">
        <xdr:graphicFrame macro="">
          <xdr:nvGraphicFramePr>
            <xdr:cNvPr id="20" name="Region 1">
              <a:extLst>
                <a:ext uri="{FF2B5EF4-FFF2-40B4-BE49-F238E27FC236}">
                  <a16:creationId xmlns:a16="http://schemas.microsoft.com/office/drawing/2014/main" id="{40E252F8-A801-5385-2C87-DC908800D23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455420" y="3055621"/>
              <a:ext cx="1897380" cy="1767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243840</xdr:colOff>
      <xdr:row>26</xdr:row>
      <xdr:rowOff>144781</xdr:rowOff>
    </xdr:from>
    <xdr:to>
      <xdr:col>5</xdr:col>
      <xdr:colOff>289560</xdr:colOff>
      <xdr:row>33</xdr:row>
      <xdr:rowOff>144781</xdr:rowOff>
    </xdr:to>
    <mc:AlternateContent xmlns:mc="http://schemas.openxmlformats.org/markup-compatibility/2006">
      <mc:Choice xmlns:a14="http://schemas.microsoft.com/office/drawing/2010/main" Requires="a14">
        <xdr:graphicFrame macro="">
          <xdr:nvGraphicFramePr>
            <xdr:cNvPr id="21" name="Age Group">
              <a:extLst>
                <a:ext uri="{FF2B5EF4-FFF2-40B4-BE49-F238E27FC236}">
                  <a16:creationId xmlns:a16="http://schemas.microsoft.com/office/drawing/2014/main" id="{3674F337-85E5-417D-0DB8-2875BB0797F1}"/>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1463040" y="4899661"/>
              <a:ext cx="187452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129540</xdr:colOff>
      <xdr:row>20</xdr:row>
      <xdr:rowOff>152400</xdr:rowOff>
    </xdr:from>
    <xdr:to>
      <xdr:col>12</xdr:col>
      <xdr:colOff>274320</xdr:colOff>
      <xdr:row>34</xdr:row>
      <xdr:rowOff>68580</xdr:rowOff>
    </xdr:to>
    <xdr:graphicFrame macro="">
      <xdr:nvGraphicFramePr>
        <xdr:cNvPr id="22" name="Chart 21">
          <a:extLst>
            <a:ext uri="{FF2B5EF4-FFF2-40B4-BE49-F238E27FC236}">
              <a16:creationId xmlns:a16="http://schemas.microsoft.com/office/drawing/2014/main" id="{56E2F5CF-034D-4799-ABCE-6BE63A940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2A95A0335 ." refreshedDate="46099.478613194442" createdVersion="8" refreshedVersion="8" minRefreshableVersion="3" recordCount="100" xr:uid="{921CFC31-1E37-430A-82DA-9953EE773D75}">
  <cacheSource type="worksheet">
    <worksheetSource name="Health"/>
  </cacheSource>
  <cacheFields count="13">
    <cacheField name="ChildID" numFmtId="0">
      <sharedItems/>
    </cacheField>
    <cacheField name="Age_Months" numFmtId="0">
      <sharedItems containsSemiMixedTypes="0" containsString="0" containsNumber="1" containsInteger="1" minValue="25" maxValue="59" count="34">
        <n v="47"/>
        <n v="34"/>
        <n v="35"/>
        <n v="39"/>
        <n v="26"/>
        <n v="51"/>
        <n v="52"/>
        <n v="28"/>
        <n v="44"/>
        <n v="25"/>
        <n v="32"/>
        <n v="49"/>
        <n v="38"/>
        <n v="57"/>
        <n v="56"/>
        <n v="46"/>
        <n v="30"/>
        <n v="43"/>
        <n v="31"/>
        <n v="48"/>
        <n v="27"/>
        <n v="45"/>
        <n v="54"/>
        <n v="40"/>
        <n v="55"/>
        <n v="42"/>
        <n v="36"/>
        <n v="50"/>
        <n v="59"/>
        <n v="53"/>
        <n v="33"/>
        <n v="41"/>
        <n v="29"/>
        <n v="58"/>
      </sharedItems>
      <fieldGroup par="12"/>
    </cacheField>
    <cacheField name="Gender" numFmtId="0">
      <sharedItems count="2">
        <s v="Female"/>
        <s v="Male"/>
      </sharedItems>
    </cacheField>
    <cacheField name="Height_cm" numFmtId="0">
      <sharedItems containsSemiMixedTypes="0" containsString="0" containsNumber="1" minValue="88.93" maxValue="115.19"/>
    </cacheField>
    <cacheField name="Weight_kg" numFmtId="0">
      <sharedItems containsSemiMixedTypes="0" containsString="0" containsNumber="1" minValue="11.75" maxValue="25.26"/>
    </cacheField>
    <cacheField name="Daily_Fruit_Servings" numFmtId="0">
      <sharedItems containsSemiMixedTypes="0" containsString="0" containsNumber="1" containsInteger="1" minValue="0" maxValue="4" count="5">
        <n v="1"/>
        <n v="0"/>
        <n v="3"/>
        <n v="2"/>
        <n v="4"/>
      </sharedItems>
    </cacheField>
    <cacheField name="Daily_Veggie_Servings" numFmtId="0">
      <sharedItems containsSemiMixedTypes="0" containsString="0" containsNumber="1" containsInteger="1" minValue="0" maxValue="4" count="5">
        <n v="2"/>
        <n v="1"/>
        <n v="3"/>
        <n v="0"/>
        <n v="4"/>
      </sharedItems>
    </cacheField>
    <cacheField name="Daily_Sugar_Drinks" numFmtId="0">
      <sharedItems containsSemiMixedTypes="0" containsString="0" containsNumber="1" containsInteger="1" minValue="0" maxValue="3" count="4">
        <n v="3"/>
        <n v="1"/>
        <n v="2"/>
        <n v="0"/>
      </sharedItems>
    </cacheField>
    <cacheField name="ScreenTime_Hours" numFmtId="0">
      <sharedItems containsSemiMixedTypes="0" containsString="0" containsNumber="1" minValue="0.5" maxValue="3.8" count="27">
        <n v="1.2"/>
        <n v="1.4"/>
        <n v="0.6"/>
        <n v="1.5"/>
        <n v="0.9"/>
        <n v="2.8"/>
        <n v="1.3"/>
        <n v="0.8"/>
        <n v="1"/>
        <n v="1.6"/>
        <n v="2.1"/>
        <n v="3.1"/>
        <n v="2"/>
        <n v="1.9"/>
        <n v="2.9"/>
        <n v="2.2999999999999998"/>
        <n v="0.7"/>
        <n v="1.7"/>
        <n v="3.2"/>
        <n v="0.5"/>
        <n v="1.1000000000000001"/>
        <n v="2.6"/>
        <n v="1.8"/>
        <n v="2.2000000000000002"/>
        <n v="3.8"/>
        <n v="3"/>
        <n v="2.5"/>
      </sharedItems>
    </cacheField>
    <cacheField name="Region" numFmtId="0">
      <sharedItems count="5">
        <s v="South"/>
        <s v="Central"/>
        <s v="East"/>
        <s v="North"/>
        <s v="West"/>
      </sharedItems>
    </cacheField>
    <cacheField name=" BMI" numFmtId="168">
      <sharedItems containsSemiMixedTypes="0" containsString="0" containsNumber="1" minValue="11.23198275256877" maxValue="21.36231277340449"/>
    </cacheField>
    <cacheField name=" Health_Status" numFmtId="0">
      <sharedItems count="2">
        <s v="Under Weight"/>
        <s v="Healthy Weight"/>
      </sharedItems>
    </cacheField>
    <cacheField name="Age_Months2" numFmtId="0" databaseField="0">
      <fieldGroup base="1">
        <discretePr count="34">
          <x v="1"/>
          <x v="0"/>
          <x v="0"/>
          <x v="1"/>
          <x v="0"/>
          <x v="2"/>
          <x v="2"/>
          <x v="0"/>
          <x v="1"/>
          <x v="0"/>
          <x v="0"/>
          <x v="2"/>
          <x v="1"/>
          <x v="2"/>
          <x v="2"/>
          <x v="1"/>
          <x v="0"/>
          <x v="1"/>
          <x v="0"/>
          <x v="1"/>
          <x v="0"/>
          <x v="1"/>
          <x v="2"/>
          <x v="1"/>
          <x v="2"/>
          <x v="1"/>
          <x v="0"/>
          <x v="2"/>
          <x v="2"/>
          <x v="2"/>
          <x v="0"/>
          <x v="1"/>
          <x v="0"/>
          <x v="2"/>
        </discretePr>
        <groupItems count="3">
          <s v="Group1"/>
          <s v="Group2"/>
          <s v="Group3"/>
        </groupItems>
      </fieldGroup>
    </cacheField>
  </cacheFields>
  <extLst>
    <ext xmlns:x14="http://schemas.microsoft.com/office/spreadsheetml/2009/9/main" uri="{725AE2AE-9491-48be-B2B4-4EB974FC3084}">
      <x14:pivotCacheDefinition pivotCacheId="6697497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001"/>
    <x v="0"/>
    <x v="0"/>
    <n v="104.41"/>
    <n v="17.34"/>
    <x v="0"/>
    <x v="0"/>
    <x v="0"/>
    <x v="0"/>
    <x v="0"/>
    <n v="15.90614369846883"/>
    <x v="0"/>
  </r>
  <r>
    <s v="C002"/>
    <x v="1"/>
    <x v="0"/>
    <n v="99.08"/>
    <n v="16.21"/>
    <x v="1"/>
    <x v="1"/>
    <x v="1"/>
    <x v="1"/>
    <x v="1"/>
    <n v="16.512431120446177"/>
    <x v="0"/>
  </r>
  <r>
    <s v="C003"/>
    <x v="2"/>
    <x v="0"/>
    <n v="94.96"/>
    <n v="17.3"/>
    <x v="2"/>
    <x v="2"/>
    <x v="2"/>
    <x v="2"/>
    <x v="1"/>
    <n v="19.185127564907393"/>
    <x v="1"/>
  </r>
  <r>
    <s v="C004"/>
    <x v="3"/>
    <x v="0"/>
    <n v="100.65"/>
    <n v="20.010000000000002"/>
    <x v="3"/>
    <x v="3"/>
    <x v="1"/>
    <x v="3"/>
    <x v="1"/>
    <n v="19.75238446372795"/>
    <x v="1"/>
  </r>
  <r>
    <s v="C005"/>
    <x v="4"/>
    <x v="0"/>
    <n v="90.06"/>
    <n v="12.16"/>
    <x v="1"/>
    <x v="1"/>
    <x v="3"/>
    <x v="4"/>
    <x v="0"/>
    <n v="14.992349216790304"/>
    <x v="0"/>
  </r>
  <r>
    <s v="C006"/>
    <x v="5"/>
    <x v="1"/>
    <n v="108.82"/>
    <n v="21.54"/>
    <x v="1"/>
    <x v="1"/>
    <x v="1"/>
    <x v="4"/>
    <x v="2"/>
    <n v="18.189813900132215"/>
    <x v="0"/>
  </r>
  <r>
    <s v="C007"/>
    <x v="6"/>
    <x v="1"/>
    <n v="110.28"/>
    <n v="21.49"/>
    <x v="4"/>
    <x v="3"/>
    <x v="2"/>
    <x v="5"/>
    <x v="0"/>
    <n v="17.67025840775398"/>
    <x v="0"/>
  </r>
  <r>
    <s v="C008"/>
    <x v="6"/>
    <x v="0"/>
    <n v="102.65"/>
    <n v="19.55"/>
    <x v="3"/>
    <x v="0"/>
    <x v="1"/>
    <x v="6"/>
    <x v="1"/>
    <n v="18.553628408784363"/>
    <x v="1"/>
  </r>
  <r>
    <s v="C009"/>
    <x v="7"/>
    <x v="1"/>
    <n v="91.47"/>
    <n v="16.39"/>
    <x v="2"/>
    <x v="0"/>
    <x v="0"/>
    <x v="7"/>
    <x v="3"/>
    <n v="19.589420799631078"/>
    <x v="1"/>
  </r>
  <r>
    <s v="C010"/>
    <x v="8"/>
    <x v="0"/>
    <n v="111.89"/>
    <n v="17.95"/>
    <x v="0"/>
    <x v="2"/>
    <x v="3"/>
    <x v="7"/>
    <x v="1"/>
    <n v="14.337779767724934"/>
    <x v="0"/>
  </r>
  <r>
    <s v="C011"/>
    <x v="9"/>
    <x v="1"/>
    <n v="96.25"/>
    <n v="13.5"/>
    <x v="2"/>
    <x v="4"/>
    <x v="3"/>
    <x v="2"/>
    <x v="4"/>
    <n v="14.572440546466519"/>
    <x v="0"/>
  </r>
  <r>
    <s v="C012"/>
    <x v="10"/>
    <x v="0"/>
    <n v="96.02"/>
    <n v="16.55"/>
    <x v="3"/>
    <x v="3"/>
    <x v="2"/>
    <x v="8"/>
    <x v="3"/>
    <n v="17.950419185130364"/>
    <x v="0"/>
  </r>
  <r>
    <s v="C013"/>
    <x v="1"/>
    <x v="1"/>
    <n v="97.37"/>
    <n v="15.55"/>
    <x v="1"/>
    <x v="1"/>
    <x v="2"/>
    <x v="6"/>
    <x v="2"/>
    <n v="16.401367255945466"/>
    <x v="0"/>
  </r>
  <r>
    <s v="C014"/>
    <x v="11"/>
    <x v="1"/>
    <n v="108.39"/>
    <n v="20.100000000000001"/>
    <x v="1"/>
    <x v="0"/>
    <x v="0"/>
    <x v="2"/>
    <x v="2"/>
    <n v="17.108724180222072"/>
    <x v="0"/>
  </r>
  <r>
    <s v="C015"/>
    <x v="9"/>
    <x v="1"/>
    <n v="92.58"/>
    <n v="15.13"/>
    <x v="3"/>
    <x v="0"/>
    <x v="2"/>
    <x v="9"/>
    <x v="1"/>
    <n v="17.652433135313405"/>
    <x v="0"/>
  </r>
  <r>
    <s v="C016"/>
    <x v="12"/>
    <x v="1"/>
    <n v="99.65"/>
    <n v="16.940000000000001"/>
    <x v="0"/>
    <x v="2"/>
    <x v="0"/>
    <x v="10"/>
    <x v="1"/>
    <n v="17.059205462973896"/>
    <x v="0"/>
  </r>
  <r>
    <s v="C017"/>
    <x v="12"/>
    <x v="0"/>
    <n v="98.91"/>
    <n v="19.489999999999998"/>
    <x v="1"/>
    <x v="3"/>
    <x v="0"/>
    <x v="11"/>
    <x v="1"/>
    <n v="19.92193117497148"/>
    <x v="1"/>
  </r>
  <r>
    <s v="C018"/>
    <x v="9"/>
    <x v="0"/>
    <n v="96.42"/>
    <n v="14.69"/>
    <x v="0"/>
    <x v="2"/>
    <x v="2"/>
    <x v="0"/>
    <x v="3"/>
    <n v="15.801108000799067"/>
    <x v="0"/>
  </r>
  <r>
    <s v="C019"/>
    <x v="13"/>
    <x v="0"/>
    <n v="109.26"/>
    <n v="20.61"/>
    <x v="2"/>
    <x v="0"/>
    <x v="1"/>
    <x v="12"/>
    <x v="2"/>
    <n v="17.264563375422682"/>
    <x v="0"/>
  </r>
  <r>
    <s v="C020"/>
    <x v="1"/>
    <x v="1"/>
    <n v="98.22"/>
    <n v="15.49"/>
    <x v="0"/>
    <x v="0"/>
    <x v="3"/>
    <x v="7"/>
    <x v="1"/>
    <n v="16.056524938447225"/>
    <x v="0"/>
  </r>
  <r>
    <s v="C021"/>
    <x v="2"/>
    <x v="0"/>
    <n v="101.02"/>
    <n v="16.760000000000002"/>
    <x v="2"/>
    <x v="0"/>
    <x v="2"/>
    <x v="13"/>
    <x v="0"/>
    <n v="16.423256883921791"/>
    <x v="0"/>
  </r>
  <r>
    <s v="C022"/>
    <x v="14"/>
    <x v="1"/>
    <n v="111.44"/>
    <n v="21.87"/>
    <x v="4"/>
    <x v="1"/>
    <x v="2"/>
    <x v="13"/>
    <x v="2"/>
    <n v="17.610292772445963"/>
    <x v="0"/>
  </r>
  <r>
    <s v="C023"/>
    <x v="15"/>
    <x v="1"/>
    <n v="103.85"/>
    <n v="19.47"/>
    <x v="3"/>
    <x v="4"/>
    <x v="0"/>
    <x v="14"/>
    <x v="2"/>
    <n v="18.053148301698982"/>
    <x v="0"/>
  </r>
  <r>
    <s v="C024"/>
    <x v="2"/>
    <x v="0"/>
    <n v="102.67"/>
    <n v="13.79"/>
    <x v="4"/>
    <x v="1"/>
    <x v="1"/>
    <x v="12"/>
    <x v="1"/>
    <n v="13.082090287312587"/>
    <x v="0"/>
  </r>
  <r>
    <s v="C025"/>
    <x v="6"/>
    <x v="1"/>
    <n v="107.91"/>
    <n v="19.27"/>
    <x v="4"/>
    <x v="3"/>
    <x v="3"/>
    <x v="7"/>
    <x v="2"/>
    <n v="16.548488389191526"/>
    <x v="0"/>
  </r>
  <r>
    <s v="C026"/>
    <x v="16"/>
    <x v="0"/>
    <n v="96.67"/>
    <n v="15.72"/>
    <x v="2"/>
    <x v="1"/>
    <x v="2"/>
    <x v="0"/>
    <x v="3"/>
    <n v="16.821669829165565"/>
    <x v="0"/>
  </r>
  <r>
    <s v="C027"/>
    <x v="2"/>
    <x v="1"/>
    <n v="101.41"/>
    <n v="19.45"/>
    <x v="1"/>
    <x v="4"/>
    <x v="2"/>
    <x v="13"/>
    <x v="0"/>
    <n v="18.912896252767929"/>
    <x v="1"/>
  </r>
  <r>
    <s v="C028"/>
    <x v="10"/>
    <x v="0"/>
    <n v="102.28"/>
    <n v="11.75"/>
    <x v="3"/>
    <x v="1"/>
    <x v="1"/>
    <x v="6"/>
    <x v="2"/>
    <n v="11.23198275256877"/>
    <x v="0"/>
  </r>
  <r>
    <s v="C029"/>
    <x v="15"/>
    <x v="1"/>
    <n v="105.06"/>
    <n v="17.260000000000002"/>
    <x v="4"/>
    <x v="1"/>
    <x v="2"/>
    <x v="7"/>
    <x v="1"/>
    <n v="15.637452318001349"/>
    <x v="0"/>
  </r>
  <r>
    <s v="C030"/>
    <x v="17"/>
    <x v="1"/>
    <n v="103.22"/>
    <n v="20.74"/>
    <x v="3"/>
    <x v="0"/>
    <x v="0"/>
    <x v="10"/>
    <x v="0"/>
    <n v="19.466193791459283"/>
    <x v="1"/>
  </r>
  <r>
    <s v="C031"/>
    <x v="15"/>
    <x v="0"/>
    <n v="105.42"/>
    <n v="20.23"/>
    <x v="4"/>
    <x v="3"/>
    <x v="2"/>
    <x v="15"/>
    <x v="4"/>
    <n v="18.203288786295403"/>
    <x v="0"/>
  </r>
  <r>
    <s v="C032"/>
    <x v="10"/>
    <x v="1"/>
    <n v="97.29"/>
    <n v="12.89"/>
    <x v="4"/>
    <x v="0"/>
    <x v="2"/>
    <x v="6"/>
    <x v="1"/>
    <n v="13.618099737124188"/>
    <x v="0"/>
  </r>
  <r>
    <s v="C033"/>
    <x v="15"/>
    <x v="1"/>
    <n v="106.22"/>
    <n v="19.48"/>
    <x v="4"/>
    <x v="2"/>
    <x v="3"/>
    <x v="16"/>
    <x v="0"/>
    <n v="17.26538862847617"/>
    <x v="0"/>
  </r>
  <r>
    <s v="C034"/>
    <x v="14"/>
    <x v="0"/>
    <n v="114.63"/>
    <n v="20.11"/>
    <x v="3"/>
    <x v="1"/>
    <x v="3"/>
    <x v="7"/>
    <x v="4"/>
    <n v="15.304371025015923"/>
    <x v="0"/>
  </r>
  <r>
    <s v="C035"/>
    <x v="16"/>
    <x v="0"/>
    <n v="93.15"/>
    <n v="14.24"/>
    <x v="0"/>
    <x v="1"/>
    <x v="2"/>
    <x v="6"/>
    <x v="1"/>
    <n v="16.411348608910586"/>
    <x v="0"/>
  </r>
  <r>
    <s v="C036"/>
    <x v="8"/>
    <x v="0"/>
    <n v="102.36"/>
    <n v="19.600000000000001"/>
    <x v="0"/>
    <x v="0"/>
    <x v="3"/>
    <x v="4"/>
    <x v="4"/>
    <n v="18.706628300517327"/>
    <x v="1"/>
  </r>
  <r>
    <s v="C037"/>
    <x v="17"/>
    <x v="0"/>
    <n v="105.34"/>
    <n v="14.14"/>
    <x v="4"/>
    <x v="2"/>
    <x v="3"/>
    <x v="7"/>
    <x v="2"/>
    <n v="12.742738810730817"/>
    <x v="0"/>
  </r>
  <r>
    <s v="C038"/>
    <x v="18"/>
    <x v="0"/>
    <n v="96.26"/>
    <n v="17.63"/>
    <x v="2"/>
    <x v="2"/>
    <x v="2"/>
    <x v="17"/>
    <x v="2"/>
    <n v="19.026574134418222"/>
    <x v="1"/>
  </r>
  <r>
    <s v="C039"/>
    <x v="7"/>
    <x v="1"/>
    <n v="97.25"/>
    <n v="14.98"/>
    <x v="2"/>
    <x v="4"/>
    <x v="0"/>
    <x v="18"/>
    <x v="1"/>
    <n v="15.839176320537135"/>
    <x v="0"/>
  </r>
  <r>
    <s v="C040"/>
    <x v="19"/>
    <x v="1"/>
    <n v="108.23"/>
    <n v="21"/>
    <x v="2"/>
    <x v="4"/>
    <x v="3"/>
    <x v="2"/>
    <x v="1"/>
    <n v="17.927675301525785"/>
    <x v="0"/>
  </r>
  <r>
    <s v="C041"/>
    <x v="20"/>
    <x v="1"/>
    <n v="97"/>
    <n v="15.12"/>
    <x v="4"/>
    <x v="3"/>
    <x v="1"/>
    <x v="17"/>
    <x v="3"/>
    <n v="16.069720480391116"/>
    <x v="0"/>
  </r>
  <r>
    <s v="C042"/>
    <x v="21"/>
    <x v="1"/>
    <n v="107.27"/>
    <n v="22.7"/>
    <x v="4"/>
    <x v="3"/>
    <x v="3"/>
    <x v="7"/>
    <x v="0"/>
    <n v="19.727374806364303"/>
    <x v="1"/>
  </r>
  <r>
    <s v="C043"/>
    <x v="22"/>
    <x v="1"/>
    <n v="112.46"/>
    <n v="21.36"/>
    <x v="3"/>
    <x v="3"/>
    <x v="1"/>
    <x v="8"/>
    <x v="1"/>
    <n v="16.889044889405064"/>
    <x v="0"/>
  </r>
  <r>
    <s v="C044"/>
    <x v="23"/>
    <x v="1"/>
    <n v="103.32"/>
    <n v="17.41"/>
    <x v="0"/>
    <x v="3"/>
    <x v="2"/>
    <x v="12"/>
    <x v="2"/>
    <n v="16.309099267089127"/>
    <x v="0"/>
  </r>
  <r>
    <s v="C045"/>
    <x v="6"/>
    <x v="0"/>
    <n v="107.31"/>
    <n v="17.34"/>
    <x v="0"/>
    <x v="2"/>
    <x v="3"/>
    <x v="19"/>
    <x v="3"/>
    <n v="15.058048908803379"/>
    <x v="0"/>
  </r>
  <r>
    <s v="C046"/>
    <x v="1"/>
    <x v="1"/>
    <n v="99.12"/>
    <n v="17.43"/>
    <x v="2"/>
    <x v="4"/>
    <x v="0"/>
    <x v="9"/>
    <x v="0"/>
    <n v="17.740865378038603"/>
    <x v="0"/>
  </r>
  <r>
    <s v="C047"/>
    <x v="20"/>
    <x v="1"/>
    <n v="93.16"/>
    <n v="15.53"/>
    <x v="3"/>
    <x v="0"/>
    <x v="3"/>
    <x v="7"/>
    <x v="1"/>
    <n v="17.89420860909388"/>
    <x v="0"/>
  </r>
  <r>
    <s v="C048"/>
    <x v="24"/>
    <x v="1"/>
    <n v="111.49"/>
    <n v="20.23"/>
    <x v="0"/>
    <x v="3"/>
    <x v="1"/>
    <x v="9"/>
    <x v="3"/>
    <n v="16.27511447065158"/>
    <x v="0"/>
  </r>
  <r>
    <s v="C049"/>
    <x v="25"/>
    <x v="0"/>
    <n v="108.71"/>
    <n v="16.2"/>
    <x v="3"/>
    <x v="1"/>
    <x v="0"/>
    <x v="20"/>
    <x v="3"/>
    <n v="13.708060833090812"/>
    <x v="0"/>
  </r>
  <r>
    <s v="C050"/>
    <x v="26"/>
    <x v="0"/>
    <n v="97.21"/>
    <n v="13.41"/>
    <x v="4"/>
    <x v="2"/>
    <x v="1"/>
    <x v="4"/>
    <x v="1"/>
    <n v="14.190800401461026"/>
    <x v="0"/>
  </r>
  <r>
    <s v="C051"/>
    <x v="1"/>
    <x v="0"/>
    <n v="98.46"/>
    <n v="15.38"/>
    <x v="2"/>
    <x v="0"/>
    <x v="2"/>
    <x v="0"/>
    <x v="0"/>
    <n v="15.864875656303504"/>
    <x v="0"/>
  </r>
  <r>
    <s v="C052"/>
    <x v="23"/>
    <x v="0"/>
    <n v="100.6"/>
    <n v="17.309999999999999"/>
    <x v="1"/>
    <x v="2"/>
    <x v="3"/>
    <x v="2"/>
    <x v="4"/>
    <n v="17.104134635526798"/>
    <x v="0"/>
  </r>
  <r>
    <s v="C053"/>
    <x v="3"/>
    <x v="0"/>
    <n v="96.54"/>
    <n v="18.239999999999998"/>
    <x v="4"/>
    <x v="2"/>
    <x v="1"/>
    <x v="13"/>
    <x v="4"/>
    <n v="19.570875087215928"/>
    <x v="1"/>
  </r>
  <r>
    <s v="C054"/>
    <x v="13"/>
    <x v="1"/>
    <n v="110.58"/>
    <n v="21.99"/>
    <x v="2"/>
    <x v="3"/>
    <x v="3"/>
    <x v="4"/>
    <x v="0"/>
    <n v="17.983410512341237"/>
    <x v="0"/>
  </r>
  <r>
    <s v="C055"/>
    <x v="27"/>
    <x v="0"/>
    <n v="114.47"/>
    <n v="18.010000000000002"/>
    <x v="0"/>
    <x v="2"/>
    <x v="3"/>
    <x v="2"/>
    <x v="3"/>
    <n v="13.744544356487417"/>
    <x v="0"/>
  </r>
  <r>
    <s v="C056"/>
    <x v="18"/>
    <x v="0"/>
    <n v="96.28"/>
    <n v="16.84"/>
    <x v="4"/>
    <x v="0"/>
    <x v="0"/>
    <x v="19"/>
    <x v="2"/>
    <n v="18.166443980296357"/>
    <x v="0"/>
  </r>
  <r>
    <s v="C057"/>
    <x v="8"/>
    <x v="0"/>
    <n v="104.76"/>
    <n v="18.399999999999999"/>
    <x v="4"/>
    <x v="0"/>
    <x v="1"/>
    <x v="16"/>
    <x v="0"/>
    <n v="16.765898919707524"/>
    <x v="0"/>
  </r>
  <r>
    <s v="C058"/>
    <x v="25"/>
    <x v="1"/>
    <n v="105.35"/>
    <n v="19.88"/>
    <x v="0"/>
    <x v="0"/>
    <x v="2"/>
    <x v="5"/>
    <x v="2"/>
    <n v="17.912132789452027"/>
    <x v="0"/>
  </r>
  <r>
    <s v="C059"/>
    <x v="28"/>
    <x v="1"/>
    <n v="110.75"/>
    <n v="24.56"/>
    <x v="4"/>
    <x v="4"/>
    <x v="1"/>
    <x v="17"/>
    <x v="0"/>
    <n v="20.023541521230683"/>
    <x v="1"/>
  </r>
  <r>
    <s v="C060"/>
    <x v="14"/>
    <x v="1"/>
    <n v="108"/>
    <n v="22.24"/>
    <x v="3"/>
    <x v="4"/>
    <x v="2"/>
    <x v="20"/>
    <x v="1"/>
    <n v="19.067215363511657"/>
    <x v="1"/>
  </r>
  <r>
    <s v="C061"/>
    <x v="10"/>
    <x v="0"/>
    <n v="98.63"/>
    <n v="17.96"/>
    <x v="1"/>
    <x v="3"/>
    <x v="2"/>
    <x v="21"/>
    <x v="3"/>
    <n v="18.462404679483562"/>
    <x v="0"/>
  </r>
  <r>
    <s v="C062"/>
    <x v="0"/>
    <x v="0"/>
    <n v="103.57"/>
    <n v="22.13"/>
    <x v="2"/>
    <x v="0"/>
    <x v="3"/>
    <x v="2"/>
    <x v="0"/>
    <n v="20.630676133633052"/>
    <x v="1"/>
  </r>
  <r>
    <s v="C063"/>
    <x v="7"/>
    <x v="1"/>
    <n v="92.72"/>
    <n v="15.7"/>
    <x v="4"/>
    <x v="3"/>
    <x v="1"/>
    <x v="19"/>
    <x v="3"/>
    <n v="18.26218788176115"/>
    <x v="0"/>
  </r>
  <r>
    <s v="C064"/>
    <x v="14"/>
    <x v="1"/>
    <n v="113.3"/>
    <n v="20.45"/>
    <x v="3"/>
    <x v="0"/>
    <x v="2"/>
    <x v="19"/>
    <x v="4"/>
    <n v="15.930649869244029"/>
    <x v="0"/>
  </r>
  <r>
    <s v="C065"/>
    <x v="12"/>
    <x v="1"/>
    <n v="104.84"/>
    <n v="19.829999999999998"/>
    <x v="4"/>
    <x v="3"/>
    <x v="3"/>
    <x v="7"/>
    <x v="3"/>
    <n v="18.041335784504604"/>
    <x v="0"/>
  </r>
  <r>
    <s v="C066"/>
    <x v="27"/>
    <x v="0"/>
    <n v="104.56"/>
    <n v="21.62"/>
    <x v="4"/>
    <x v="1"/>
    <x v="1"/>
    <x v="12"/>
    <x v="0"/>
    <n v="19.775366471749727"/>
    <x v="1"/>
  </r>
  <r>
    <s v="C067"/>
    <x v="20"/>
    <x v="1"/>
    <n v="97.32"/>
    <n v="16.28"/>
    <x v="3"/>
    <x v="4"/>
    <x v="3"/>
    <x v="7"/>
    <x v="0"/>
    <n v="17.188983711262917"/>
    <x v="0"/>
  </r>
  <r>
    <s v="C068"/>
    <x v="10"/>
    <x v="0"/>
    <n v="103.58"/>
    <n v="15.12"/>
    <x v="4"/>
    <x v="3"/>
    <x v="2"/>
    <x v="22"/>
    <x v="2"/>
    <n v="14.092887263873765"/>
    <x v="0"/>
  </r>
  <r>
    <s v="C069"/>
    <x v="29"/>
    <x v="1"/>
    <n v="105.92"/>
    <n v="22.98"/>
    <x v="3"/>
    <x v="3"/>
    <x v="3"/>
    <x v="7"/>
    <x v="4"/>
    <n v="20.483024296966988"/>
    <x v="1"/>
  </r>
  <r>
    <s v="C070"/>
    <x v="30"/>
    <x v="1"/>
    <n v="104.76"/>
    <n v="13.89"/>
    <x v="2"/>
    <x v="4"/>
    <x v="3"/>
    <x v="19"/>
    <x v="2"/>
    <n v="12.656431304061822"/>
    <x v="0"/>
  </r>
  <r>
    <s v="C071"/>
    <x v="11"/>
    <x v="1"/>
    <n v="108.22"/>
    <n v="19.55"/>
    <x v="0"/>
    <x v="1"/>
    <x v="2"/>
    <x v="9"/>
    <x v="2"/>
    <n v="16.692896572247317"/>
    <x v="0"/>
  </r>
  <r>
    <s v="C072"/>
    <x v="10"/>
    <x v="0"/>
    <n v="97.69"/>
    <n v="18.04"/>
    <x v="2"/>
    <x v="0"/>
    <x v="2"/>
    <x v="23"/>
    <x v="0"/>
    <n v="18.903242860743426"/>
    <x v="1"/>
  </r>
  <r>
    <s v="C073"/>
    <x v="6"/>
    <x v="0"/>
    <n v="104.99"/>
    <n v="22.77"/>
    <x v="2"/>
    <x v="0"/>
    <x v="1"/>
    <x v="20"/>
    <x v="1"/>
    <n v="20.656995702972939"/>
    <x v="1"/>
  </r>
  <r>
    <s v="C074"/>
    <x v="9"/>
    <x v="1"/>
    <n v="88.93"/>
    <n v="15.5"/>
    <x v="2"/>
    <x v="3"/>
    <x v="0"/>
    <x v="24"/>
    <x v="1"/>
    <n v="19.59905418252098"/>
    <x v="1"/>
  </r>
  <r>
    <s v="C075"/>
    <x v="31"/>
    <x v="0"/>
    <n v="105.5"/>
    <n v="20.18"/>
    <x v="0"/>
    <x v="4"/>
    <x v="0"/>
    <x v="13"/>
    <x v="3"/>
    <n v="18.130769749107163"/>
    <x v="0"/>
  </r>
  <r>
    <s v="C076"/>
    <x v="12"/>
    <x v="1"/>
    <n v="101.47"/>
    <n v="15.96"/>
    <x v="0"/>
    <x v="1"/>
    <x v="3"/>
    <x v="7"/>
    <x v="0"/>
    <n v="15.500923261601326"/>
    <x v="0"/>
  </r>
  <r>
    <s v="C077"/>
    <x v="15"/>
    <x v="1"/>
    <n v="103.84"/>
    <n v="17.13"/>
    <x v="1"/>
    <x v="4"/>
    <x v="1"/>
    <x v="16"/>
    <x v="2"/>
    <n v="15.886491841187462"/>
    <x v="0"/>
  </r>
  <r>
    <s v="C078"/>
    <x v="21"/>
    <x v="1"/>
    <n v="103.74"/>
    <n v="18.21"/>
    <x v="0"/>
    <x v="2"/>
    <x v="3"/>
    <x v="19"/>
    <x v="2"/>
    <n v="16.920666215969256"/>
    <x v="0"/>
  </r>
  <r>
    <s v="C079"/>
    <x v="19"/>
    <x v="1"/>
    <n v="101.32"/>
    <n v="21.93"/>
    <x v="4"/>
    <x v="0"/>
    <x v="2"/>
    <x v="5"/>
    <x v="1"/>
    <n v="21.36231277340449"/>
    <x v="1"/>
  </r>
  <r>
    <s v="C080"/>
    <x v="22"/>
    <x v="0"/>
    <n v="109.83"/>
    <n v="21.35"/>
    <x v="2"/>
    <x v="0"/>
    <x v="1"/>
    <x v="16"/>
    <x v="3"/>
    <n v="17.699292730459444"/>
    <x v="0"/>
  </r>
  <r>
    <s v="C081"/>
    <x v="11"/>
    <x v="1"/>
    <n v="112.98"/>
    <n v="18.22"/>
    <x v="2"/>
    <x v="1"/>
    <x v="1"/>
    <x v="17"/>
    <x v="0"/>
    <n v="14.273984861929826"/>
    <x v="0"/>
  </r>
  <r>
    <s v="C082"/>
    <x v="21"/>
    <x v="0"/>
    <n v="104.87"/>
    <n v="19.66"/>
    <x v="0"/>
    <x v="4"/>
    <x v="2"/>
    <x v="20"/>
    <x v="4"/>
    <n v="17.876437608609475"/>
    <x v="0"/>
  </r>
  <r>
    <s v="C083"/>
    <x v="16"/>
    <x v="1"/>
    <n v="100.81"/>
    <n v="14.39"/>
    <x v="3"/>
    <x v="4"/>
    <x v="2"/>
    <x v="21"/>
    <x v="0"/>
    <n v="14.159684100694896"/>
    <x v="0"/>
  </r>
  <r>
    <s v="C084"/>
    <x v="32"/>
    <x v="0"/>
    <n v="101.16"/>
    <n v="14.14"/>
    <x v="3"/>
    <x v="0"/>
    <x v="0"/>
    <x v="6"/>
    <x v="0"/>
    <n v="13.817573013462967"/>
    <x v="0"/>
  </r>
  <r>
    <s v="C085"/>
    <x v="13"/>
    <x v="0"/>
    <n v="115.19"/>
    <n v="20.76"/>
    <x v="0"/>
    <x v="4"/>
    <x v="3"/>
    <x v="8"/>
    <x v="0"/>
    <n v="15.645800657682841"/>
    <x v="0"/>
  </r>
  <r>
    <s v="C086"/>
    <x v="14"/>
    <x v="1"/>
    <n v="110.72"/>
    <n v="20.149999999999999"/>
    <x v="1"/>
    <x v="1"/>
    <x v="1"/>
    <x v="12"/>
    <x v="4"/>
    <n v="16.43701290971967"/>
    <x v="0"/>
  </r>
  <r>
    <s v="C087"/>
    <x v="14"/>
    <x v="0"/>
    <n v="106.73"/>
    <n v="24.09"/>
    <x v="1"/>
    <x v="1"/>
    <x v="0"/>
    <x v="17"/>
    <x v="4"/>
    <n v="21.147731176326783"/>
    <x v="1"/>
  </r>
  <r>
    <s v="C088"/>
    <x v="9"/>
    <x v="0"/>
    <n v="99.72"/>
    <n v="14.9"/>
    <x v="4"/>
    <x v="0"/>
    <x v="0"/>
    <x v="23"/>
    <x v="1"/>
    <n v="14.983791760933824"/>
    <x v="0"/>
  </r>
  <r>
    <s v="C089"/>
    <x v="16"/>
    <x v="0"/>
    <n v="96.45"/>
    <n v="14.77"/>
    <x v="4"/>
    <x v="0"/>
    <x v="3"/>
    <x v="2"/>
    <x v="3"/>
    <n v="15.877277353299789"/>
    <x v="0"/>
  </r>
  <r>
    <s v="C090"/>
    <x v="29"/>
    <x v="1"/>
    <n v="106.44"/>
    <n v="20.73"/>
    <x v="4"/>
    <x v="2"/>
    <x v="2"/>
    <x v="12"/>
    <x v="0"/>
    <n v="18.29740792193558"/>
    <x v="0"/>
  </r>
  <r>
    <s v="C091"/>
    <x v="32"/>
    <x v="0"/>
    <n v="97.77"/>
    <n v="15.72"/>
    <x v="3"/>
    <x v="3"/>
    <x v="3"/>
    <x v="4"/>
    <x v="0"/>
    <n v="16.445281479979926"/>
    <x v="0"/>
  </r>
  <r>
    <s v="C092"/>
    <x v="33"/>
    <x v="1"/>
    <n v="113.49"/>
    <n v="25.26"/>
    <x v="1"/>
    <x v="4"/>
    <x v="0"/>
    <x v="25"/>
    <x v="4"/>
    <n v="19.611831543124822"/>
    <x v="1"/>
  </r>
  <r>
    <s v="C093"/>
    <x v="4"/>
    <x v="1"/>
    <n v="92.08"/>
    <n v="15.29"/>
    <x v="4"/>
    <x v="1"/>
    <x v="2"/>
    <x v="21"/>
    <x v="2"/>
    <n v="18.033368785198682"/>
    <x v="0"/>
  </r>
  <r>
    <s v="C094"/>
    <x v="9"/>
    <x v="0"/>
    <n v="96.42"/>
    <n v="15.34"/>
    <x v="4"/>
    <x v="2"/>
    <x v="2"/>
    <x v="4"/>
    <x v="2"/>
    <n v="16.500272071630885"/>
    <x v="0"/>
  </r>
  <r>
    <s v="C095"/>
    <x v="28"/>
    <x v="0"/>
    <n v="108.1"/>
    <n v="19.25"/>
    <x v="0"/>
    <x v="3"/>
    <x v="1"/>
    <x v="8"/>
    <x v="0"/>
    <n v="16.47325214515973"/>
    <x v="0"/>
  </r>
  <r>
    <s v="C096"/>
    <x v="27"/>
    <x v="0"/>
    <n v="109.15"/>
    <n v="22.09"/>
    <x v="0"/>
    <x v="4"/>
    <x v="3"/>
    <x v="2"/>
    <x v="1"/>
    <n v="18.541643890060385"/>
    <x v="1"/>
  </r>
  <r>
    <s v="C097"/>
    <x v="19"/>
    <x v="1"/>
    <n v="107.71"/>
    <n v="19.079999999999998"/>
    <x v="1"/>
    <x v="0"/>
    <x v="2"/>
    <x v="22"/>
    <x v="2"/>
    <n v="16.446228448404973"/>
    <x v="0"/>
  </r>
  <r>
    <s v="C098"/>
    <x v="13"/>
    <x v="1"/>
    <n v="112.41"/>
    <n v="21.55"/>
    <x v="3"/>
    <x v="4"/>
    <x v="3"/>
    <x v="4"/>
    <x v="0"/>
    <n v="17.054436677671966"/>
    <x v="0"/>
  </r>
  <r>
    <s v="C099"/>
    <x v="21"/>
    <x v="1"/>
    <n v="110.12"/>
    <n v="18.510000000000002"/>
    <x v="1"/>
    <x v="0"/>
    <x v="3"/>
    <x v="4"/>
    <x v="3"/>
    <n v="15.264198789050129"/>
    <x v="0"/>
  </r>
  <r>
    <s v="C100"/>
    <x v="11"/>
    <x v="1"/>
    <n v="106.6"/>
    <n v="21.21"/>
    <x v="1"/>
    <x v="3"/>
    <x v="2"/>
    <x v="26"/>
    <x v="3"/>
    <n v="18.66492542829888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04B479-B41B-48CC-ABAC-78C14949DC23}" name="Health_Status"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 Age Months" colHeaderCaption=" ">
  <location ref="C6:F11" firstHeaderRow="1" firstDataRow="2" firstDataCol="1"/>
  <pivotFields count="13">
    <pivotField showAll="0"/>
    <pivotField axis="axisRow" showAll="0">
      <items count="35">
        <item x="9"/>
        <item x="4"/>
        <item x="20"/>
        <item x="7"/>
        <item x="32"/>
        <item x="16"/>
        <item x="18"/>
        <item x="10"/>
        <item x="30"/>
        <item x="1"/>
        <item x="2"/>
        <item x="26"/>
        <item x="12"/>
        <item x="3"/>
        <item x="23"/>
        <item x="31"/>
        <item x="25"/>
        <item x="17"/>
        <item x="8"/>
        <item x="21"/>
        <item x="15"/>
        <item x="0"/>
        <item x="19"/>
        <item x="11"/>
        <item x="27"/>
        <item x="5"/>
        <item x="6"/>
        <item x="29"/>
        <item x="22"/>
        <item x="24"/>
        <item x="14"/>
        <item x="13"/>
        <item x="33"/>
        <item x="28"/>
        <item t="default"/>
      </items>
    </pivotField>
    <pivotField showAll="0">
      <items count="3">
        <item x="0"/>
        <item x="1"/>
        <item t="default"/>
      </items>
    </pivotField>
    <pivotField showAll="0"/>
    <pivotField showAll="0"/>
    <pivotField showAll="0"/>
    <pivotField showAll="0"/>
    <pivotField showAll="0"/>
    <pivotField showAll="0"/>
    <pivotField showAll="0">
      <items count="6">
        <item x="1"/>
        <item x="2"/>
        <item x="3"/>
        <item x="0"/>
        <item x="4"/>
        <item t="default"/>
      </items>
    </pivotField>
    <pivotField numFmtId="168" showAll="0"/>
    <pivotField axis="axisCol" dataField="1" showAll="0">
      <items count="3">
        <item sd="0" x="1"/>
        <item sd="0" x="0"/>
        <item t="default"/>
      </items>
    </pivotField>
    <pivotField name="Age Group" axis="axisRow" showAll="0">
      <items count="4">
        <item n="25 - 36" sd="0" x="0"/>
        <item n=" 37 - 48" sd="0" x="1"/>
        <item n=" 49 - 60" sd="0" x="2"/>
        <item t="default"/>
      </items>
    </pivotField>
  </pivotFields>
  <rowFields count="2">
    <field x="12"/>
    <field x="1"/>
  </rowFields>
  <rowItems count="4">
    <i>
      <x/>
    </i>
    <i>
      <x v="1"/>
    </i>
    <i>
      <x v="2"/>
    </i>
    <i t="grand">
      <x/>
    </i>
  </rowItems>
  <colFields count="1">
    <field x="11"/>
  </colFields>
  <colItems count="3">
    <i>
      <x/>
    </i>
    <i>
      <x v="1"/>
    </i>
    <i t="grand">
      <x/>
    </i>
  </colItems>
  <dataFields count="1">
    <dataField name=" " fld="11" subtotal="count" baseField="0" baseItem="0"/>
  </dataFields>
  <formats count="8">
    <format dxfId="18">
      <pivotArea dataOnly="0" fieldPosition="0">
        <references count="1">
          <reference field="1" count="12">
            <x v="0"/>
            <x v="1"/>
            <x v="2"/>
            <x v="3"/>
            <x v="4"/>
            <x v="5"/>
            <x v="6"/>
            <x v="7"/>
            <x v="8"/>
            <x v="9"/>
            <x v="10"/>
            <x v="11"/>
          </reference>
        </references>
      </pivotArea>
    </format>
    <format dxfId="19">
      <pivotArea collapsedLevelsAreSubtotals="1" fieldPosition="0">
        <references count="2">
          <reference field="1" count="11">
            <x v="12"/>
            <x v="13"/>
            <x v="14"/>
            <x v="15"/>
            <x v="16"/>
            <x v="17"/>
            <x v="18"/>
            <x v="19"/>
            <x v="20"/>
            <x v="21"/>
            <x v="22"/>
          </reference>
          <reference field="12" count="1" selected="0">
            <x v="1"/>
          </reference>
        </references>
      </pivotArea>
    </format>
    <format dxfId="20">
      <pivotArea dataOnly="0" labelOnly="1" fieldPosition="0">
        <references count="2">
          <reference field="1" count="11">
            <x v="12"/>
            <x v="13"/>
            <x v="14"/>
            <x v="15"/>
            <x v="16"/>
            <x v="17"/>
            <x v="18"/>
            <x v="19"/>
            <x v="20"/>
            <x v="21"/>
            <x v="22"/>
          </reference>
          <reference field="12" count="1" selected="0">
            <x v="1"/>
          </reference>
        </references>
      </pivotArea>
    </format>
    <format dxfId="21">
      <pivotArea collapsedLevelsAreSubtotals="1" fieldPosition="0">
        <references count="2">
          <reference field="1" count="11">
            <x v="23"/>
            <x v="24"/>
            <x v="25"/>
            <x v="26"/>
            <x v="27"/>
            <x v="28"/>
            <x v="29"/>
            <x v="30"/>
            <x v="31"/>
            <x v="32"/>
            <x v="33"/>
          </reference>
          <reference field="12" count="1" selected="0">
            <x v="2"/>
          </reference>
        </references>
      </pivotArea>
    </format>
    <format dxfId="22">
      <pivotArea dataOnly="0" labelOnly="1" fieldPosition="0">
        <references count="2">
          <reference field="1" count="11">
            <x v="23"/>
            <x v="24"/>
            <x v="25"/>
            <x v="26"/>
            <x v="27"/>
            <x v="28"/>
            <x v="29"/>
            <x v="30"/>
            <x v="31"/>
            <x v="32"/>
            <x v="33"/>
          </reference>
          <reference field="12" count="1" selected="0">
            <x v="2"/>
          </reference>
        </references>
      </pivotArea>
    </format>
    <format dxfId="17">
      <pivotArea dataOnly="0" fieldPosition="0">
        <references count="1">
          <reference field="12" count="1">
            <x v="0"/>
          </reference>
        </references>
      </pivotArea>
    </format>
    <format dxfId="16">
      <pivotArea dataOnly="0" fieldPosition="0">
        <references count="1">
          <reference field="12" count="1">
            <x v="1"/>
          </reference>
        </references>
      </pivotArea>
    </format>
    <format dxfId="15">
      <pivotArea dataOnly="0" fieldPosition="0">
        <references count="1">
          <reference field="12" count="1">
            <x v="2"/>
          </reference>
        </references>
      </pivotArea>
    </format>
  </formats>
  <chartFormats count="4">
    <chartFormat chart="12" format="0" series="1">
      <pivotArea type="data" outline="0" fieldPosition="0">
        <references count="2">
          <reference field="4294967294" count="1" selected="0">
            <x v="0"/>
          </reference>
          <reference field="11" count="1" selected="0">
            <x v="0"/>
          </reference>
        </references>
      </pivotArea>
    </chartFormat>
    <chartFormat chart="12" format="1" series="1">
      <pivotArea type="data" outline="0" fieldPosition="0">
        <references count="2">
          <reference field="4294967294" count="1" selected="0">
            <x v="0"/>
          </reference>
          <reference field="11" count="1" selected="0">
            <x v="1"/>
          </reference>
        </references>
      </pivotArea>
    </chartFormat>
    <chartFormat chart="22" format="4" series="1">
      <pivotArea type="data" outline="0" fieldPosition="0">
        <references count="2">
          <reference field="4294967294" count="1" selected="0">
            <x v="0"/>
          </reference>
          <reference field="11" count="1" selected="0">
            <x v="0"/>
          </reference>
        </references>
      </pivotArea>
    </chartFormat>
    <chartFormat chart="22"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51820A-0B92-467A-90FB-28B710104EEE}" name="Nutrition"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 Fruit intake" colHeaderCaption=" Veggie intake">
  <location ref="D13:J20" firstHeaderRow="1" firstDataRow="2" firstDataCol="1"/>
  <pivotFields count="13">
    <pivotField showAll="0"/>
    <pivotField showAll="0">
      <items count="35">
        <item x="9"/>
        <item x="4"/>
        <item x="20"/>
        <item x="7"/>
        <item x="32"/>
        <item x="16"/>
        <item x="18"/>
        <item x="10"/>
        <item x="30"/>
        <item x="1"/>
        <item x="2"/>
        <item x="26"/>
        <item x="12"/>
        <item x="3"/>
        <item x="23"/>
        <item x="31"/>
        <item x="25"/>
        <item x="17"/>
        <item x="8"/>
        <item x="21"/>
        <item x="15"/>
        <item x="0"/>
        <item x="19"/>
        <item x="11"/>
        <item x="27"/>
        <item x="5"/>
        <item x="6"/>
        <item x="29"/>
        <item x="22"/>
        <item x="24"/>
        <item x="14"/>
        <item x="13"/>
        <item x="33"/>
        <item x="28"/>
        <item t="default"/>
      </items>
    </pivotField>
    <pivotField showAll="0">
      <items count="3">
        <item x="0"/>
        <item x="1"/>
        <item t="default"/>
      </items>
    </pivotField>
    <pivotField showAll="0"/>
    <pivotField showAll="0"/>
    <pivotField axis="axisRow" showAll="0" sortType="ascending">
      <items count="6">
        <item x="1"/>
        <item x="0"/>
        <item x="3"/>
        <item x="2"/>
        <item x="4"/>
        <item t="default"/>
      </items>
    </pivotField>
    <pivotField axis="axisCol" showAll="0" sortType="ascending">
      <items count="6">
        <item x="3"/>
        <item x="1"/>
        <item x="0"/>
        <item x="2"/>
        <item x="4"/>
        <item t="default"/>
      </items>
    </pivotField>
    <pivotField showAll="0"/>
    <pivotField showAll="0"/>
    <pivotField showAll="0">
      <items count="6">
        <item x="1"/>
        <item x="2"/>
        <item x="3"/>
        <item x="0"/>
        <item x="4"/>
        <item t="default"/>
      </items>
    </pivotField>
    <pivotField dataField="1" numFmtId="168" showAll="0"/>
    <pivotField showAll="0">
      <items count="3">
        <item x="1"/>
        <item x="0"/>
        <item t="default"/>
      </items>
    </pivotField>
    <pivotField showAll="0" defaultSubtotal="0">
      <items count="3">
        <item x="0"/>
        <item x="1"/>
        <item x="2"/>
      </items>
    </pivotField>
  </pivotFields>
  <rowFields count="1">
    <field x="5"/>
  </rowFields>
  <rowItems count="6">
    <i>
      <x/>
    </i>
    <i>
      <x v="1"/>
    </i>
    <i>
      <x v="2"/>
    </i>
    <i>
      <x v="3"/>
    </i>
    <i>
      <x v="4"/>
    </i>
    <i t="grand">
      <x/>
    </i>
  </rowItems>
  <colFields count="1">
    <field x="6"/>
  </colFields>
  <colItems count="6">
    <i>
      <x/>
    </i>
    <i>
      <x v="1"/>
    </i>
    <i>
      <x v="2"/>
    </i>
    <i>
      <x v="3"/>
    </i>
    <i>
      <x v="4"/>
    </i>
    <i t="grand">
      <x/>
    </i>
  </colItems>
  <dataFields count="1">
    <dataField name=" " fld="10" subtotal="average" baseField="5" baseItem="0" numFmtId="168"/>
  </dataFields>
  <formats count="4">
    <format dxfId="11">
      <pivotArea collapsedLevelsAreSubtotals="1" fieldPosition="0">
        <references count="1">
          <reference field="5" count="0"/>
        </references>
      </pivotArea>
    </format>
    <format dxfId="12">
      <pivotArea dataOnly="0" labelOnly="1" fieldPosition="0">
        <references count="1">
          <reference field="5" count="0"/>
        </references>
      </pivotArea>
    </format>
    <format dxfId="13">
      <pivotArea grandRow="1" outline="0" collapsedLevelsAreSubtotals="1" fieldPosition="0"/>
    </format>
    <format dxfId="14">
      <pivotArea dataOnly="0" labelOnly="1" grandRow="1" outline="0" fieldPosition="0"/>
    </format>
  </formats>
  <chartFormats count="10">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9" format="20" series="1">
      <pivotArea type="data" outline="0" fieldPosition="0">
        <references count="2">
          <reference field="4294967294" count="1" selected="0">
            <x v="0"/>
          </reference>
          <reference field="6" count="1" selected="0">
            <x v="0"/>
          </reference>
        </references>
      </pivotArea>
    </chartFormat>
    <chartFormat chart="9" format="21" series="1">
      <pivotArea type="data" outline="0" fieldPosition="0">
        <references count="2">
          <reference field="4294967294" count="1" selected="0">
            <x v="0"/>
          </reference>
          <reference field="6" count="1" selected="0">
            <x v="1"/>
          </reference>
        </references>
      </pivotArea>
    </chartFormat>
    <chartFormat chart="9" format="22" series="1">
      <pivotArea type="data" outline="0" fieldPosition="0">
        <references count="2">
          <reference field="4294967294" count="1" selected="0">
            <x v="0"/>
          </reference>
          <reference field="6" count="1" selected="0">
            <x v="2"/>
          </reference>
        </references>
      </pivotArea>
    </chartFormat>
    <chartFormat chart="9" format="23" series="1">
      <pivotArea type="data" outline="0" fieldPosition="0">
        <references count="2">
          <reference field="4294967294" count="1" selected="0">
            <x v="0"/>
          </reference>
          <reference field="6" count="1" selected="0">
            <x v="3"/>
          </reference>
        </references>
      </pivotArea>
    </chartFormat>
    <chartFormat chart="9" format="24" series="1">
      <pivotArea type="data" outline="0" fieldPosition="0">
        <references count="2">
          <reference field="4294967294" count="1" selected="0">
            <x v="0"/>
          </reference>
          <reference field="6" count="1" selected="0">
            <x v="4"/>
          </reference>
        </references>
      </pivotArea>
    </chartFormat>
  </chartFormat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9DDF0D-858B-4BB8-AEC7-A6E45CF15679}" name="Correlation"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Heath status" colHeaderCaption=" Sugar drink">
  <location ref="D6:I11" firstHeaderRow="1" firstDataRow="3" firstDataCol="1"/>
  <pivotFields count="13">
    <pivotField showAll="0" defaultSubtotal="0"/>
    <pivotField showAll="0" defaultSubtotal="0">
      <items count="34">
        <item x="9"/>
        <item x="4"/>
        <item x="20"/>
        <item x="7"/>
        <item x="32"/>
        <item x="16"/>
        <item x="18"/>
        <item x="10"/>
        <item x="30"/>
        <item x="1"/>
        <item x="2"/>
        <item x="26"/>
        <item x="12"/>
        <item x="3"/>
        <item x="23"/>
        <item x="31"/>
        <item x="25"/>
        <item x="17"/>
        <item x="8"/>
        <item x="21"/>
        <item x="15"/>
        <item x="0"/>
        <item x="19"/>
        <item x="11"/>
        <item x="27"/>
        <item x="5"/>
        <item x="6"/>
        <item x="29"/>
        <item x="22"/>
        <item x="24"/>
        <item x="14"/>
        <item x="13"/>
        <item x="33"/>
        <item x="28"/>
      </items>
    </pivotField>
    <pivotField showAll="0" defaultSubtotal="0">
      <items count="2">
        <item x="0"/>
        <item x="1"/>
      </items>
    </pivotField>
    <pivotField showAll="0" defaultSubtotal="0"/>
    <pivotField showAll="0" defaultSubtotal="0"/>
    <pivotField showAll="0" defaultSubtotal="0"/>
    <pivotField showAll="0" defaultSubtotal="0"/>
    <pivotField axis="axisCol" showAll="0" defaultSubtotal="0">
      <items count="4">
        <item sd="0" x="3"/>
        <item sd="0" x="1"/>
        <item sd="0" x="2"/>
        <item sd="0" x="0"/>
      </items>
    </pivotField>
    <pivotField axis="axisCol" dataField="1" showAll="0" defaultSubtotal="0">
      <items count="27">
        <item x="19"/>
        <item x="2"/>
        <item x="16"/>
        <item x="7"/>
        <item x="4"/>
        <item x="8"/>
        <item x="20"/>
        <item x="0"/>
        <item x="6"/>
        <item x="1"/>
        <item x="3"/>
        <item x="9"/>
        <item x="17"/>
        <item x="22"/>
        <item x="13"/>
        <item x="12"/>
        <item x="10"/>
        <item x="23"/>
        <item x="15"/>
        <item x="26"/>
        <item x="21"/>
        <item x="5"/>
        <item x="14"/>
        <item x="25"/>
        <item x="11"/>
        <item x="18"/>
        <item x="24"/>
      </items>
    </pivotField>
    <pivotField showAll="0" defaultSubtotal="0">
      <items count="5">
        <item x="1"/>
        <item x="2"/>
        <item x="3"/>
        <item x="0"/>
        <item x="4"/>
      </items>
    </pivotField>
    <pivotField numFmtId="168" showAll="0" defaultSubtotal="0"/>
    <pivotField axis="axisRow" showAll="0" defaultSubtotal="0">
      <items count="2">
        <item x="1"/>
        <item x="0"/>
      </items>
    </pivotField>
    <pivotField showAll="0" defaultSubtotal="0">
      <items count="3">
        <item x="0"/>
        <item x="1"/>
        <item x="2"/>
      </items>
    </pivotField>
  </pivotFields>
  <rowFields count="1">
    <field x="11"/>
  </rowFields>
  <rowItems count="3">
    <i>
      <x/>
    </i>
    <i>
      <x v="1"/>
    </i>
    <i t="grand">
      <x/>
    </i>
  </rowItems>
  <colFields count="2">
    <field x="7"/>
    <field x="8"/>
  </colFields>
  <colItems count="5">
    <i>
      <x/>
    </i>
    <i>
      <x v="1"/>
    </i>
    <i>
      <x v="2"/>
    </i>
    <i>
      <x v="3"/>
    </i>
    <i t="grand">
      <x/>
    </i>
  </colItems>
  <dataFields count="1">
    <dataField name="Avg screen time" fld="8" subtotal="average" baseField="11" baseItem="0" numFmtId="168"/>
  </dataFields>
  <formats count="10">
    <format dxfId="10">
      <pivotArea dataOnly="0" labelOnly="1" fieldPosition="0">
        <references count="1">
          <reference field="7" count="1">
            <x v="0"/>
          </reference>
        </references>
      </pivotArea>
    </format>
    <format dxfId="9">
      <pivotArea outline="0" collapsedLevelsAreSubtotals="1" fieldPosition="0"/>
    </format>
    <format dxfId="8">
      <pivotArea dataOnly="0" labelOnly="1" offset="A256" fieldPosition="0">
        <references count="1">
          <reference field="7" count="1">
            <x v="0"/>
          </reference>
        </references>
      </pivotArea>
    </format>
    <format dxfId="7">
      <pivotArea outline="0" collapsedLevelsAreSubtotals="1" fieldPosition="0">
        <references count="1">
          <reference field="7" count="1" selected="0" defaultSubtotal="1">
            <x v="0"/>
          </reference>
        </references>
      </pivotArea>
    </format>
    <format dxfId="6">
      <pivotArea dataOnly="0" labelOnly="1" fieldPosition="0">
        <references count="1">
          <reference field="7" count="1" defaultSubtotal="1">
            <x v="0"/>
          </reference>
        </references>
      </pivotArea>
    </format>
    <format dxfId="5">
      <pivotArea grandRow="1" outline="0" collapsedLevelsAreSubtotals="1" fieldPosition="0"/>
    </format>
    <format dxfId="4">
      <pivotArea dataOnly="0" labelOnly="1" grandRow="1" outline="0" fieldPosition="0"/>
    </format>
    <format dxfId="3">
      <pivotArea dataOnly="0" grandRow="1" axis="axisRow" fieldPosition="0"/>
    </format>
    <format dxfId="2">
      <pivotArea grandRow="1" outline="0" collapsedLevelsAreSubtotals="1" fieldPosition="0"/>
    </format>
    <format dxfId="1">
      <pivotArea dataOnly="0" labelOnly="1" grandRow="1" outline="0" fieldPosition="0"/>
    </format>
  </formats>
  <chartFormats count="10">
    <chartFormat chart="5" format="0" series="1">
      <pivotArea type="data" outline="0" fieldPosition="0">
        <references count="2">
          <reference field="4294967294" count="1" selected="0">
            <x v="0"/>
          </reference>
          <reference field="7" count="1" selected="0">
            <x v="0"/>
          </reference>
        </references>
      </pivotArea>
    </chartFormat>
    <chartFormat chart="5" format="1" series="1">
      <pivotArea type="data" outline="0" fieldPosition="0">
        <references count="2">
          <reference field="4294967294" count="1" selected="0">
            <x v="0"/>
          </reference>
          <reference field="7" count="1" selected="0">
            <x v="1"/>
          </reference>
        </references>
      </pivotArea>
    </chartFormat>
    <chartFormat chart="5" format="2" series="1">
      <pivotArea type="data" outline="0" fieldPosition="0">
        <references count="2">
          <reference field="4294967294" count="1" selected="0">
            <x v="0"/>
          </reference>
          <reference field="7" count="1" selected="0">
            <x v="2"/>
          </reference>
        </references>
      </pivotArea>
    </chartFormat>
    <chartFormat chart="5" format="3" series="1">
      <pivotArea type="data" outline="0" fieldPosition="0">
        <references count="2">
          <reference field="4294967294" count="1" selected="0">
            <x v="0"/>
          </reference>
          <reference field="7" count="1" selected="0">
            <x v="3"/>
          </reference>
        </references>
      </pivotArea>
    </chartFormat>
    <chartFormat chart="5" format="4" series="1">
      <pivotArea type="data" outline="0" fieldPosition="0">
        <references count="3">
          <reference field="4294967294" count="1" selected="0">
            <x v="0"/>
          </reference>
          <reference field="7" count="1" selected="0">
            <x v="0"/>
          </reference>
          <reference field="8" count="1" selected="0">
            <x v="4"/>
          </reference>
        </references>
      </pivotArea>
    </chartFormat>
    <chartFormat chart="5" format="5" series="1">
      <pivotArea type="data" outline="0" fieldPosition="0">
        <references count="3">
          <reference field="4294967294" count="1" selected="0">
            <x v="0"/>
          </reference>
          <reference field="7" count="1" selected="0">
            <x v="0"/>
          </reference>
          <reference field="8" count="1" selected="0">
            <x v="5"/>
          </reference>
        </references>
      </pivotArea>
    </chartFormat>
    <chartFormat chart="11" format="10" series="1">
      <pivotArea type="data" outline="0" fieldPosition="0">
        <references count="2">
          <reference field="4294967294" count="1" selected="0">
            <x v="0"/>
          </reference>
          <reference field="7" count="1" selected="0">
            <x v="0"/>
          </reference>
        </references>
      </pivotArea>
    </chartFormat>
    <chartFormat chart="11" format="11" series="1">
      <pivotArea type="data" outline="0" fieldPosition="0">
        <references count="2">
          <reference field="4294967294" count="1" selected="0">
            <x v="0"/>
          </reference>
          <reference field="7" count="1" selected="0">
            <x v="1"/>
          </reference>
        </references>
      </pivotArea>
    </chartFormat>
    <chartFormat chart="11" format="12" series="1">
      <pivotArea type="data" outline="0" fieldPosition="0">
        <references count="2">
          <reference field="4294967294" count="1" selected="0">
            <x v="0"/>
          </reference>
          <reference field="7" count="1" selected="0">
            <x v="2"/>
          </reference>
        </references>
      </pivotArea>
    </chartFormat>
    <chartFormat chart="11" format="13" series="1">
      <pivotArea type="data" outline="0" fieldPosition="0">
        <references count="2">
          <reference field="4294967294" count="1" selected="0">
            <x v="0"/>
          </reference>
          <reference field="7"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F48E7B-F9F5-472C-BCEF-60C14FDD7AF1}" name="Regional_diff"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 Region" colHeaderCaption=" Fruit intake">
  <location ref="D6:J13" firstHeaderRow="1" firstDataRow="2" firstDataCol="1"/>
  <pivotFields count="13">
    <pivotField showAll="0"/>
    <pivotField showAll="0">
      <items count="35">
        <item x="9"/>
        <item x="4"/>
        <item x="20"/>
        <item x="7"/>
        <item x="32"/>
        <item x="16"/>
        <item x="18"/>
        <item x="10"/>
        <item x="30"/>
        <item x="1"/>
        <item x="2"/>
        <item x="26"/>
        <item x="12"/>
        <item x="3"/>
        <item x="23"/>
        <item x="31"/>
        <item x="25"/>
        <item x="17"/>
        <item x="8"/>
        <item x="21"/>
        <item x="15"/>
        <item x="0"/>
        <item x="19"/>
        <item x="11"/>
        <item x="27"/>
        <item x="5"/>
        <item x="6"/>
        <item x="29"/>
        <item x="22"/>
        <item x="24"/>
        <item x="14"/>
        <item x="13"/>
        <item x="33"/>
        <item x="28"/>
        <item t="default"/>
      </items>
    </pivotField>
    <pivotField showAll="0">
      <items count="3">
        <item x="0"/>
        <item x="1"/>
        <item t="default"/>
      </items>
    </pivotField>
    <pivotField showAll="0"/>
    <pivotField showAll="0"/>
    <pivotField axis="axisCol" showAll="0">
      <items count="6">
        <item x="1"/>
        <item x="0"/>
        <item x="3"/>
        <item x="2"/>
        <item x="4"/>
        <item t="default"/>
      </items>
    </pivotField>
    <pivotField showAll="0"/>
    <pivotField showAll="0"/>
    <pivotField showAll="0"/>
    <pivotField axis="axisRow" showAll="0">
      <items count="6">
        <item x="1"/>
        <item x="2"/>
        <item x="3"/>
        <item x="0"/>
        <item x="4"/>
        <item t="default"/>
      </items>
    </pivotField>
    <pivotField dataField="1" numFmtId="168" showAll="0"/>
    <pivotField showAll="0">
      <items count="3">
        <item x="1"/>
        <item x="0"/>
        <item t="default"/>
      </items>
    </pivotField>
    <pivotField showAll="0" defaultSubtotal="0">
      <items count="3">
        <item x="0"/>
        <item x="1"/>
        <item x="2"/>
      </items>
    </pivotField>
  </pivotFields>
  <rowFields count="1">
    <field x="9"/>
  </rowFields>
  <rowItems count="6">
    <i>
      <x/>
    </i>
    <i>
      <x v="1"/>
    </i>
    <i>
      <x v="2"/>
    </i>
    <i>
      <x v="3"/>
    </i>
    <i>
      <x v="4"/>
    </i>
    <i t="grand">
      <x/>
    </i>
  </rowItems>
  <colFields count="1">
    <field x="5"/>
  </colFields>
  <colItems count="6">
    <i>
      <x/>
    </i>
    <i>
      <x v="1"/>
    </i>
    <i>
      <x v="2"/>
    </i>
    <i>
      <x v="3"/>
    </i>
    <i>
      <x v="4"/>
    </i>
    <i t="grand">
      <x/>
    </i>
  </colItems>
  <dataFields count="1">
    <dataField name=" " fld="10" subtotal="average" baseField="9" baseItem="0" numFmtId="168"/>
  </dataFields>
  <conditionalFormats count="4">
    <conditionalFormat priority="4">
      <pivotAreas count="1">
        <pivotArea type="data" collapsedLevelsAreSubtotals="1" fieldPosition="0">
          <references count="2">
            <reference field="4294967294" count="1" selected="0">
              <x v="0"/>
            </reference>
            <reference field="9" count="5">
              <x v="0"/>
              <x v="1"/>
              <x v="2"/>
              <x v="3"/>
              <x v="4"/>
            </reference>
          </references>
        </pivotArea>
      </pivotAreas>
    </conditionalFormat>
    <conditionalFormat priority="3">
      <pivotAreas count="1">
        <pivotArea type="data" collapsedLevelsAreSubtotals="1" fieldPosition="0">
          <references count="2">
            <reference field="4294967294" count="1" selected="0">
              <x v="0"/>
            </reference>
            <reference field="9" count="5">
              <x v="0"/>
              <x v="1"/>
              <x v="2"/>
              <x v="3"/>
              <x v="4"/>
            </reference>
          </references>
        </pivotArea>
      </pivotAreas>
    </conditionalFormat>
    <conditionalFormat priority="2">
      <pivotAreas count="1">
        <pivotArea type="data" collapsedLevelsAreSubtotals="1" fieldPosition="0">
          <references count="2">
            <reference field="4294967294" count="1" selected="0">
              <x v="0"/>
            </reference>
            <reference field="9" count="5">
              <x v="0"/>
              <x v="1"/>
              <x v="2"/>
              <x v="3"/>
              <x v="4"/>
            </reference>
          </references>
        </pivotArea>
      </pivotAreas>
    </conditionalFormat>
    <conditionalFormat priority="1">
      <pivotAreas count="1">
        <pivotArea type="data" collapsedLevelsAreSubtotals="1" fieldPosition="0">
          <references count="2">
            <reference field="4294967294" count="1" selected="0">
              <x v="0"/>
            </reference>
            <reference field="9" count="5">
              <x v="0"/>
              <x v="1"/>
              <x v="2"/>
              <x v="3"/>
              <x v="4"/>
            </reference>
          </references>
        </pivotArea>
      </pivotAreas>
    </conditionalFormat>
  </conditionalFormats>
  <chartFormats count="60">
    <chartFormat chart="9" format="0" series="1">
      <pivotArea type="data" outline="0" fieldPosition="0">
        <references count="2">
          <reference field="4294967294" count="1" selected="0">
            <x v="0"/>
          </reference>
          <reference field="5" count="1" selected="0">
            <x v="0"/>
          </reference>
        </references>
      </pivotArea>
    </chartFormat>
    <chartFormat chart="9" format="1" series="1">
      <pivotArea type="data" outline="0" fieldPosition="0">
        <references count="2">
          <reference field="4294967294" count="1" selected="0">
            <x v="0"/>
          </reference>
          <reference field="5" count="1" selected="0">
            <x v="1"/>
          </reference>
        </references>
      </pivotArea>
    </chartFormat>
    <chartFormat chart="9" format="2" series="1">
      <pivotArea type="data" outline="0" fieldPosition="0">
        <references count="2">
          <reference field="4294967294" count="1" selected="0">
            <x v="0"/>
          </reference>
          <reference field="5" count="1" selected="0">
            <x v="2"/>
          </reference>
        </references>
      </pivotArea>
    </chartFormat>
    <chartFormat chart="9" format="3" series="1">
      <pivotArea type="data" outline="0" fieldPosition="0">
        <references count="2">
          <reference field="4294967294" count="1" selected="0">
            <x v="0"/>
          </reference>
          <reference field="5" count="1" selected="0">
            <x v="3"/>
          </reference>
        </references>
      </pivotArea>
    </chartFormat>
    <chartFormat chart="9" format="4" series="1">
      <pivotArea type="data" outline="0" fieldPosition="0">
        <references count="2">
          <reference field="4294967294" count="1" selected="0">
            <x v="0"/>
          </reference>
          <reference field="5" count="1" selected="0">
            <x v="4"/>
          </reference>
        </references>
      </pivotArea>
    </chartFormat>
    <chartFormat chart="9" format="5">
      <pivotArea type="data" outline="0" fieldPosition="0">
        <references count="3">
          <reference field="4294967294" count="1" selected="0">
            <x v="0"/>
          </reference>
          <reference field="5" count="1" selected="0">
            <x v="0"/>
          </reference>
          <reference field="9" count="1" selected="0">
            <x v="0"/>
          </reference>
        </references>
      </pivotArea>
    </chartFormat>
    <chartFormat chart="9" format="6">
      <pivotArea type="data" outline="0" fieldPosition="0">
        <references count="3">
          <reference field="4294967294" count="1" selected="0">
            <x v="0"/>
          </reference>
          <reference field="5" count="1" selected="0">
            <x v="0"/>
          </reference>
          <reference field="9" count="1" selected="0">
            <x v="1"/>
          </reference>
        </references>
      </pivotArea>
    </chartFormat>
    <chartFormat chart="9" format="7">
      <pivotArea type="data" outline="0" fieldPosition="0">
        <references count="3">
          <reference field="4294967294" count="1" selected="0">
            <x v="0"/>
          </reference>
          <reference field="5" count="1" selected="0">
            <x v="0"/>
          </reference>
          <reference field="9" count="1" selected="0">
            <x v="2"/>
          </reference>
        </references>
      </pivotArea>
    </chartFormat>
    <chartFormat chart="9" format="8">
      <pivotArea type="data" outline="0" fieldPosition="0">
        <references count="3">
          <reference field="4294967294" count="1" selected="0">
            <x v="0"/>
          </reference>
          <reference field="5" count="1" selected="0">
            <x v="0"/>
          </reference>
          <reference field="9" count="1" selected="0">
            <x v="3"/>
          </reference>
        </references>
      </pivotArea>
    </chartFormat>
    <chartFormat chart="9" format="9">
      <pivotArea type="data" outline="0" fieldPosition="0">
        <references count="3">
          <reference field="4294967294" count="1" selected="0">
            <x v="0"/>
          </reference>
          <reference field="5" count="1" selected="0">
            <x v="0"/>
          </reference>
          <reference field="9" count="1" selected="0">
            <x v="4"/>
          </reference>
        </references>
      </pivotArea>
    </chartFormat>
    <chartFormat chart="9" format="10">
      <pivotArea type="data" outline="0" fieldPosition="0">
        <references count="3">
          <reference field="4294967294" count="1" selected="0">
            <x v="0"/>
          </reference>
          <reference field="5" count="1" selected="0">
            <x v="1"/>
          </reference>
          <reference field="9" count="1" selected="0">
            <x v="0"/>
          </reference>
        </references>
      </pivotArea>
    </chartFormat>
    <chartFormat chart="9" format="11">
      <pivotArea type="data" outline="0" fieldPosition="0">
        <references count="3">
          <reference field="4294967294" count="1" selected="0">
            <x v="0"/>
          </reference>
          <reference field="5" count="1" selected="0">
            <x v="1"/>
          </reference>
          <reference field="9" count="1" selected="0">
            <x v="1"/>
          </reference>
        </references>
      </pivotArea>
    </chartFormat>
    <chartFormat chart="9" format="12">
      <pivotArea type="data" outline="0" fieldPosition="0">
        <references count="3">
          <reference field="4294967294" count="1" selected="0">
            <x v="0"/>
          </reference>
          <reference field="5" count="1" selected="0">
            <x v="1"/>
          </reference>
          <reference field="9" count="1" selected="0">
            <x v="2"/>
          </reference>
        </references>
      </pivotArea>
    </chartFormat>
    <chartFormat chart="9" format="13">
      <pivotArea type="data" outline="0" fieldPosition="0">
        <references count="3">
          <reference field="4294967294" count="1" selected="0">
            <x v="0"/>
          </reference>
          <reference field="5" count="1" selected="0">
            <x v="1"/>
          </reference>
          <reference field="9" count="1" selected="0">
            <x v="3"/>
          </reference>
        </references>
      </pivotArea>
    </chartFormat>
    <chartFormat chart="9" format="14">
      <pivotArea type="data" outline="0" fieldPosition="0">
        <references count="3">
          <reference field="4294967294" count="1" selected="0">
            <x v="0"/>
          </reference>
          <reference field="5" count="1" selected="0">
            <x v="1"/>
          </reference>
          <reference field="9" count="1" selected="0">
            <x v="4"/>
          </reference>
        </references>
      </pivotArea>
    </chartFormat>
    <chartFormat chart="9" format="15">
      <pivotArea type="data" outline="0" fieldPosition="0">
        <references count="3">
          <reference field="4294967294" count="1" selected="0">
            <x v="0"/>
          </reference>
          <reference field="5" count="1" selected="0">
            <x v="2"/>
          </reference>
          <reference field="9" count="1" selected="0">
            <x v="0"/>
          </reference>
        </references>
      </pivotArea>
    </chartFormat>
    <chartFormat chart="9" format="16">
      <pivotArea type="data" outline="0" fieldPosition="0">
        <references count="3">
          <reference field="4294967294" count="1" selected="0">
            <x v="0"/>
          </reference>
          <reference field="5" count="1" selected="0">
            <x v="2"/>
          </reference>
          <reference field="9" count="1" selected="0">
            <x v="1"/>
          </reference>
        </references>
      </pivotArea>
    </chartFormat>
    <chartFormat chart="9" format="17">
      <pivotArea type="data" outline="0" fieldPosition="0">
        <references count="3">
          <reference field="4294967294" count="1" selected="0">
            <x v="0"/>
          </reference>
          <reference field="5" count="1" selected="0">
            <x v="2"/>
          </reference>
          <reference field="9" count="1" selected="0">
            <x v="2"/>
          </reference>
        </references>
      </pivotArea>
    </chartFormat>
    <chartFormat chart="9" format="18">
      <pivotArea type="data" outline="0" fieldPosition="0">
        <references count="3">
          <reference field="4294967294" count="1" selected="0">
            <x v="0"/>
          </reference>
          <reference field="5" count="1" selected="0">
            <x v="2"/>
          </reference>
          <reference field="9" count="1" selected="0">
            <x v="3"/>
          </reference>
        </references>
      </pivotArea>
    </chartFormat>
    <chartFormat chart="9" format="19">
      <pivotArea type="data" outline="0" fieldPosition="0">
        <references count="3">
          <reference field="4294967294" count="1" selected="0">
            <x v="0"/>
          </reference>
          <reference field="5" count="1" selected="0">
            <x v="2"/>
          </reference>
          <reference field="9" count="1" selected="0">
            <x v="4"/>
          </reference>
        </references>
      </pivotArea>
    </chartFormat>
    <chartFormat chart="9" format="20">
      <pivotArea type="data" outline="0" fieldPosition="0">
        <references count="3">
          <reference field="4294967294" count="1" selected="0">
            <x v="0"/>
          </reference>
          <reference field="5" count="1" selected="0">
            <x v="3"/>
          </reference>
          <reference field="9" count="1" selected="0">
            <x v="0"/>
          </reference>
        </references>
      </pivotArea>
    </chartFormat>
    <chartFormat chart="9" format="21">
      <pivotArea type="data" outline="0" fieldPosition="0">
        <references count="3">
          <reference field="4294967294" count="1" selected="0">
            <x v="0"/>
          </reference>
          <reference field="5" count="1" selected="0">
            <x v="3"/>
          </reference>
          <reference field="9" count="1" selected="0">
            <x v="1"/>
          </reference>
        </references>
      </pivotArea>
    </chartFormat>
    <chartFormat chart="9" format="22">
      <pivotArea type="data" outline="0" fieldPosition="0">
        <references count="3">
          <reference field="4294967294" count="1" selected="0">
            <x v="0"/>
          </reference>
          <reference field="5" count="1" selected="0">
            <x v="3"/>
          </reference>
          <reference field="9" count="1" selected="0">
            <x v="2"/>
          </reference>
        </references>
      </pivotArea>
    </chartFormat>
    <chartFormat chart="9" format="23">
      <pivotArea type="data" outline="0" fieldPosition="0">
        <references count="3">
          <reference field="4294967294" count="1" selected="0">
            <x v="0"/>
          </reference>
          <reference field="5" count="1" selected="0">
            <x v="3"/>
          </reference>
          <reference field="9" count="1" selected="0">
            <x v="3"/>
          </reference>
        </references>
      </pivotArea>
    </chartFormat>
    <chartFormat chart="9" format="24">
      <pivotArea type="data" outline="0" fieldPosition="0">
        <references count="3">
          <reference field="4294967294" count="1" selected="0">
            <x v="0"/>
          </reference>
          <reference field="5" count="1" selected="0">
            <x v="3"/>
          </reference>
          <reference field="9" count="1" selected="0">
            <x v="4"/>
          </reference>
        </references>
      </pivotArea>
    </chartFormat>
    <chartFormat chart="9" format="25">
      <pivotArea type="data" outline="0" fieldPosition="0">
        <references count="3">
          <reference field="4294967294" count="1" selected="0">
            <x v="0"/>
          </reference>
          <reference field="5" count="1" selected="0">
            <x v="4"/>
          </reference>
          <reference field="9" count="1" selected="0">
            <x v="0"/>
          </reference>
        </references>
      </pivotArea>
    </chartFormat>
    <chartFormat chart="9" format="26">
      <pivotArea type="data" outline="0" fieldPosition="0">
        <references count="3">
          <reference field="4294967294" count="1" selected="0">
            <x v="0"/>
          </reference>
          <reference field="5" count="1" selected="0">
            <x v="4"/>
          </reference>
          <reference field="9" count="1" selected="0">
            <x v="1"/>
          </reference>
        </references>
      </pivotArea>
    </chartFormat>
    <chartFormat chart="9" format="27">
      <pivotArea type="data" outline="0" fieldPosition="0">
        <references count="3">
          <reference field="4294967294" count="1" selected="0">
            <x v="0"/>
          </reference>
          <reference field="5" count="1" selected="0">
            <x v="4"/>
          </reference>
          <reference field="9" count="1" selected="0">
            <x v="2"/>
          </reference>
        </references>
      </pivotArea>
    </chartFormat>
    <chartFormat chart="9" format="28">
      <pivotArea type="data" outline="0" fieldPosition="0">
        <references count="3">
          <reference field="4294967294" count="1" selected="0">
            <x v="0"/>
          </reference>
          <reference field="5" count="1" selected="0">
            <x v="4"/>
          </reference>
          <reference field="9" count="1" selected="0">
            <x v="3"/>
          </reference>
        </references>
      </pivotArea>
    </chartFormat>
    <chartFormat chart="9" format="29">
      <pivotArea type="data" outline="0" fieldPosition="0">
        <references count="3">
          <reference field="4294967294" count="1" selected="0">
            <x v="0"/>
          </reference>
          <reference field="5" count="1" selected="0">
            <x v="4"/>
          </reference>
          <reference field="9" count="1" selected="0">
            <x v="4"/>
          </reference>
        </references>
      </pivotArea>
    </chartFormat>
    <chartFormat chart="15" format="60" series="1">
      <pivotArea type="data" outline="0" fieldPosition="0">
        <references count="2">
          <reference field="4294967294" count="1" selected="0">
            <x v="0"/>
          </reference>
          <reference field="5" count="1" selected="0">
            <x v="0"/>
          </reference>
        </references>
      </pivotArea>
    </chartFormat>
    <chartFormat chart="15" format="61">
      <pivotArea type="data" outline="0" fieldPosition="0">
        <references count="3">
          <reference field="4294967294" count="1" selected="0">
            <x v="0"/>
          </reference>
          <reference field="5" count="1" selected="0">
            <x v="0"/>
          </reference>
          <reference field="9" count="1" selected="0">
            <x v="0"/>
          </reference>
        </references>
      </pivotArea>
    </chartFormat>
    <chartFormat chart="15" format="62">
      <pivotArea type="data" outline="0" fieldPosition="0">
        <references count="3">
          <reference field="4294967294" count="1" selected="0">
            <x v="0"/>
          </reference>
          <reference field="5" count="1" selected="0">
            <x v="0"/>
          </reference>
          <reference field="9" count="1" selected="0">
            <x v="1"/>
          </reference>
        </references>
      </pivotArea>
    </chartFormat>
    <chartFormat chart="15" format="63">
      <pivotArea type="data" outline="0" fieldPosition="0">
        <references count="3">
          <reference field="4294967294" count="1" selected="0">
            <x v="0"/>
          </reference>
          <reference field="5" count="1" selected="0">
            <x v="0"/>
          </reference>
          <reference field="9" count="1" selected="0">
            <x v="2"/>
          </reference>
        </references>
      </pivotArea>
    </chartFormat>
    <chartFormat chart="15" format="64">
      <pivotArea type="data" outline="0" fieldPosition="0">
        <references count="3">
          <reference field="4294967294" count="1" selected="0">
            <x v="0"/>
          </reference>
          <reference field="5" count="1" selected="0">
            <x v="0"/>
          </reference>
          <reference field="9" count="1" selected="0">
            <x v="3"/>
          </reference>
        </references>
      </pivotArea>
    </chartFormat>
    <chartFormat chart="15" format="65">
      <pivotArea type="data" outline="0" fieldPosition="0">
        <references count="3">
          <reference field="4294967294" count="1" selected="0">
            <x v="0"/>
          </reference>
          <reference field="5" count="1" selected="0">
            <x v="0"/>
          </reference>
          <reference field="9" count="1" selected="0">
            <x v="4"/>
          </reference>
        </references>
      </pivotArea>
    </chartFormat>
    <chartFormat chart="15" format="66" series="1">
      <pivotArea type="data" outline="0" fieldPosition="0">
        <references count="2">
          <reference field="4294967294" count="1" selected="0">
            <x v="0"/>
          </reference>
          <reference field="5" count="1" selected="0">
            <x v="1"/>
          </reference>
        </references>
      </pivotArea>
    </chartFormat>
    <chartFormat chart="15" format="67">
      <pivotArea type="data" outline="0" fieldPosition="0">
        <references count="3">
          <reference field="4294967294" count="1" selected="0">
            <x v="0"/>
          </reference>
          <reference field="5" count="1" selected="0">
            <x v="1"/>
          </reference>
          <reference field="9" count="1" selected="0">
            <x v="0"/>
          </reference>
        </references>
      </pivotArea>
    </chartFormat>
    <chartFormat chart="15" format="68">
      <pivotArea type="data" outline="0" fieldPosition="0">
        <references count="3">
          <reference field="4294967294" count="1" selected="0">
            <x v="0"/>
          </reference>
          <reference field="5" count="1" selected="0">
            <x v="1"/>
          </reference>
          <reference field="9" count="1" selected="0">
            <x v="1"/>
          </reference>
        </references>
      </pivotArea>
    </chartFormat>
    <chartFormat chart="15" format="69">
      <pivotArea type="data" outline="0" fieldPosition="0">
        <references count="3">
          <reference field="4294967294" count="1" selected="0">
            <x v="0"/>
          </reference>
          <reference field="5" count="1" selected="0">
            <x v="1"/>
          </reference>
          <reference field="9" count="1" selected="0">
            <x v="2"/>
          </reference>
        </references>
      </pivotArea>
    </chartFormat>
    <chartFormat chart="15" format="70">
      <pivotArea type="data" outline="0" fieldPosition="0">
        <references count="3">
          <reference field="4294967294" count="1" selected="0">
            <x v="0"/>
          </reference>
          <reference field="5" count="1" selected="0">
            <x v="1"/>
          </reference>
          <reference field="9" count="1" selected="0">
            <x v="3"/>
          </reference>
        </references>
      </pivotArea>
    </chartFormat>
    <chartFormat chart="15" format="71">
      <pivotArea type="data" outline="0" fieldPosition="0">
        <references count="3">
          <reference field="4294967294" count="1" selected="0">
            <x v="0"/>
          </reference>
          <reference field="5" count="1" selected="0">
            <x v="1"/>
          </reference>
          <reference field="9" count="1" selected="0">
            <x v="4"/>
          </reference>
        </references>
      </pivotArea>
    </chartFormat>
    <chartFormat chart="15" format="72" series="1">
      <pivotArea type="data" outline="0" fieldPosition="0">
        <references count="2">
          <reference field="4294967294" count="1" selected="0">
            <x v="0"/>
          </reference>
          <reference field="5" count="1" selected="0">
            <x v="2"/>
          </reference>
        </references>
      </pivotArea>
    </chartFormat>
    <chartFormat chart="15" format="73">
      <pivotArea type="data" outline="0" fieldPosition="0">
        <references count="3">
          <reference field="4294967294" count="1" selected="0">
            <x v="0"/>
          </reference>
          <reference field="5" count="1" selected="0">
            <x v="2"/>
          </reference>
          <reference field="9" count="1" selected="0">
            <x v="0"/>
          </reference>
        </references>
      </pivotArea>
    </chartFormat>
    <chartFormat chart="15" format="74">
      <pivotArea type="data" outline="0" fieldPosition="0">
        <references count="3">
          <reference field="4294967294" count="1" selected="0">
            <x v="0"/>
          </reference>
          <reference field="5" count="1" selected="0">
            <x v="2"/>
          </reference>
          <reference field="9" count="1" selected="0">
            <x v="1"/>
          </reference>
        </references>
      </pivotArea>
    </chartFormat>
    <chartFormat chart="15" format="75">
      <pivotArea type="data" outline="0" fieldPosition="0">
        <references count="3">
          <reference field="4294967294" count="1" selected="0">
            <x v="0"/>
          </reference>
          <reference field="5" count="1" selected="0">
            <x v="2"/>
          </reference>
          <reference field="9" count="1" selected="0">
            <x v="2"/>
          </reference>
        </references>
      </pivotArea>
    </chartFormat>
    <chartFormat chart="15" format="76">
      <pivotArea type="data" outline="0" fieldPosition="0">
        <references count="3">
          <reference field="4294967294" count="1" selected="0">
            <x v="0"/>
          </reference>
          <reference field="5" count="1" selected="0">
            <x v="2"/>
          </reference>
          <reference field="9" count="1" selected="0">
            <x v="3"/>
          </reference>
        </references>
      </pivotArea>
    </chartFormat>
    <chartFormat chart="15" format="77">
      <pivotArea type="data" outline="0" fieldPosition="0">
        <references count="3">
          <reference field="4294967294" count="1" selected="0">
            <x v="0"/>
          </reference>
          <reference field="5" count="1" selected="0">
            <x v="2"/>
          </reference>
          <reference field="9" count="1" selected="0">
            <x v="4"/>
          </reference>
        </references>
      </pivotArea>
    </chartFormat>
    <chartFormat chart="15" format="78" series="1">
      <pivotArea type="data" outline="0" fieldPosition="0">
        <references count="2">
          <reference field="4294967294" count="1" selected="0">
            <x v="0"/>
          </reference>
          <reference field="5" count="1" selected="0">
            <x v="3"/>
          </reference>
        </references>
      </pivotArea>
    </chartFormat>
    <chartFormat chart="15" format="79">
      <pivotArea type="data" outline="0" fieldPosition="0">
        <references count="3">
          <reference field="4294967294" count="1" selected="0">
            <x v="0"/>
          </reference>
          <reference field="5" count="1" selected="0">
            <x v="3"/>
          </reference>
          <reference field="9" count="1" selected="0">
            <x v="0"/>
          </reference>
        </references>
      </pivotArea>
    </chartFormat>
    <chartFormat chart="15" format="80">
      <pivotArea type="data" outline="0" fieldPosition="0">
        <references count="3">
          <reference field="4294967294" count="1" selected="0">
            <x v="0"/>
          </reference>
          <reference field="5" count="1" selected="0">
            <x v="3"/>
          </reference>
          <reference field="9" count="1" selected="0">
            <x v="1"/>
          </reference>
        </references>
      </pivotArea>
    </chartFormat>
    <chartFormat chart="15" format="81">
      <pivotArea type="data" outline="0" fieldPosition="0">
        <references count="3">
          <reference field="4294967294" count="1" selected="0">
            <x v="0"/>
          </reference>
          <reference field="5" count="1" selected="0">
            <x v="3"/>
          </reference>
          <reference field="9" count="1" selected="0">
            <x v="2"/>
          </reference>
        </references>
      </pivotArea>
    </chartFormat>
    <chartFormat chart="15" format="82">
      <pivotArea type="data" outline="0" fieldPosition="0">
        <references count="3">
          <reference field="4294967294" count="1" selected="0">
            <x v="0"/>
          </reference>
          <reference field="5" count="1" selected="0">
            <x v="3"/>
          </reference>
          <reference field="9" count="1" selected="0">
            <x v="3"/>
          </reference>
        </references>
      </pivotArea>
    </chartFormat>
    <chartFormat chart="15" format="83">
      <pivotArea type="data" outline="0" fieldPosition="0">
        <references count="3">
          <reference field="4294967294" count="1" selected="0">
            <x v="0"/>
          </reference>
          <reference field="5" count="1" selected="0">
            <x v="3"/>
          </reference>
          <reference field="9" count="1" selected="0">
            <x v="4"/>
          </reference>
        </references>
      </pivotArea>
    </chartFormat>
    <chartFormat chart="15" format="84" series="1">
      <pivotArea type="data" outline="0" fieldPosition="0">
        <references count="2">
          <reference field="4294967294" count="1" selected="0">
            <x v="0"/>
          </reference>
          <reference field="5" count="1" selected="0">
            <x v="4"/>
          </reference>
        </references>
      </pivotArea>
    </chartFormat>
    <chartFormat chart="15" format="85">
      <pivotArea type="data" outline="0" fieldPosition="0">
        <references count="3">
          <reference field="4294967294" count="1" selected="0">
            <x v="0"/>
          </reference>
          <reference field="5" count="1" selected="0">
            <x v="4"/>
          </reference>
          <reference field="9" count="1" selected="0">
            <x v="0"/>
          </reference>
        </references>
      </pivotArea>
    </chartFormat>
    <chartFormat chart="15" format="86">
      <pivotArea type="data" outline="0" fieldPosition="0">
        <references count="3">
          <reference field="4294967294" count="1" selected="0">
            <x v="0"/>
          </reference>
          <reference field="5" count="1" selected="0">
            <x v="4"/>
          </reference>
          <reference field="9" count="1" selected="0">
            <x v="1"/>
          </reference>
        </references>
      </pivotArea>
    </chartFormat>
    <chartFormat chart="15" format="87">
      <pivotArea type="data" outline="0" fieldPosition="0">
        <references count="3">
          <reference field="4294967294" count="1" selected="0">
            <x v="0"/>
          </reference>
          <reference field="5" count="1" selected="0">
            <x v="4"/>
          </reference>
          <reference field="9" count="1" selected="0">
            <x v="2"/>
          </reference>
        </references>
      </pivotArea>
    </chartFormat>
    <chartFormat chart="15" format="88">
      <pivotArea type="data" outline="0" fieldPosition="0">
        <references count="3">
          <reference field="4294967294" count="1" selected="0">
            <x v="0"/>
          </reference>
          <reference field="5" count="1" selected="0">
            <x v="4"/>
          </reference>
          <reference field="9" count="1" selected="0">
            <x v="3"/>
          </reference>
        </references>
      </pivotArea>
    </chartFormat>
    <chartFormat chart="15" format="89">
      <pivotArea type="data" outline="0" fieldPosition="0">
        <references count="3">
          <reference field="4294967294" count="1" selected="0">
            <x v="0"/>
          </reference>
          <reference field="5" count="1" selected="0">
            <x v="4"/>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DEFFDFAB-D8A7-43A8-8352-2C04D64A0B62}" autoFormatId="16" applyNumberFormats="0" applyBorderFormats="0" applyFontFormats="0" applyPatternFormats="0" applyAlignmentFormats="0" applyWidthHeightFormats="0">
  <queryTableRefresh nextId="3">
    <queryTableFields count="2">
      <queryTableField id="1" name="Region" tableColumnId="1"/>
      <queryTableField id="2" name="Count"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DD986D1-F2E4-4D9D-B5F6-1FC0BC538E40}" sourceName="Gender">
  <pivotTables>
    <pivotTable tabId="7" name="Regional_diff"/>
    <pivotTable tabId="6" name="Correlation"/>
    <pivotTable tabId="2" name="Health_Status"/>
    <pivotTable tabId="5" name="Nutrition"/>
  </pivotTables>
  <data>
    <tabular pivotCacheId="66974976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lth_Status" xr10:uid="{F9AD2345-3676-429F-94E4-38B4A8BBA293}" sourceName=" Health_Status">
  <pivotTables>
    <pivotTable tabId="7" name="Regional_diff"/>
    <pivotTable tabId="6" name="Correlation"/>
    <pivotTable tabId="2" name="Health_Status"/>
    <pivotTable tabId="5" name="Nutrition"/>
  </pivotTables>
  <data>
    <tabular pivotCacheId="66974976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11CD8E37-822C-4B0A-80CD-5225B3AC8E75}" sourceName="Region">
  <pivotTables>
    <pivotTable tabId="7" name="Regional_diff"/>
    <pivotTable tabId="6" name="Correlation"/>
    <pivotTable tabId="2" name="Health_Status"/>
    <pivotTable tabId="5" name="Nutrition"/>
  </pivotTables>
  <data>
    <tabular pivotCacheId="669749765">
      <items count="5">
        <i x="1" s="1"/>
        <i x="2" s="1"/>
        <i x="3"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Months2" xr10:uid="{5431B2F2-F515-4781-9282-F55DAA4D88C4}" sourceName="Age_Months2">
  <pivotTables>
    <pivotTable tabId="7" name="Regional_diff"/>
    <pivotTable tabId="6" name="Correlation"/>
    <pivotTable tabId="2" name="Health_Status"/>
    <pivotTable tabId="5" name="Nutrition"/>
  </pivotTables>
  <data>
    <tabular pivotCacheId="669749765">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7FA93BF-CB78-4BC4-8407-0F3479C53493}" cache="Slicer_Region1" caption="Region" startItem="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28089FB-D8B9-4FAC-AA47-5708D78AE729}" cache="Slicer_Gender" caption="Gender" rowHeight="247650"/>
  <slicer name=" Health_Status" xr10:uid="{8F23D8A0-9434-42A2-AF53-45AC6F6401C9}" cache="Slicer_Health_Status" caption=" Health_Status" rowHeight="247650"/>
  <slicer name="Region 1" xr10:uid="{BCC332B7-EDCA-43E9-993A-AABCF9840ECF}" cache="Slicer_Region1" caption="Region" rowHeight="247650"/>
  <slicer name="Age Group" xr10:uid="{9ECD7673-3416-4682-AA5B-825A76BE3680}" cache="Slicer_Age_Months2" caption="Age Group"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EC5C3A-F893-4417-B9D7-0D9B5D5289CC}" name="Health" displayName="Health" ref="A1:L101" totalsRowShown="0">
  <autoFilter ref="A1:L101" xr:uid="{59EC5C3A-F893-4417-B9D7-0D9B5D5289CC}"/>
  <tableColumns count="12">
    <tableColumn id="1" xr3:uid="{000C09AD-862B-4BE8-8550-884108114BC2}" name="ChildID"/>
    <tableColumn id="2" xr3:uid="{BB2AF026-981B-494D-9E62-B30213A1411F}" name="Age_Months"/>
    <tableColumn id="3" xr3:uid="{5680C235-8E45-42AE-9E7D-87963F628DE0}" name="Gender"/>
    <tableColumn id="4" xr3:uid="{55449E03-3890-416C-A243-139D61C08845}" name="Height_cm"/>
    <tableColumn id="5" xr3:uid="{AAA6BBC6-2C05-419A-800E-34ED0D87C92E}" name="Weight_kg"/>
    <tableColumn id="6" xr3:uid="{F5969B00-D62F-406E-AF4B-A921C3F72777}" name="Daily_Fruit_Servings"/>
    <tableColumn id="7" xr3:uid="{F226274E-46C6-466C-8B54-E1E67DFA6046}" name="Daily_Veggie_Servings"/>
    <tableColumn id="8" xr3:uid="{0F9AC3F9-B9C7-4B88-B453-11FC86943FD6}" name="Daily_Sugar_Drinks"/>
    <tableColumn id="9" xr3:uid="{4C1120D3-0FC2-47CA-A427-B0197E3197F9}" name="ScreenTime_Hours"/>
    <tableColumn id="10" xr3:uid="{54D29AF9-8132-41DC-A0F9-0F30066CEC4D}" name="Region"/>
    <tableColumn id="11" xr3:uid="{FC961B8D-12E0-427E-90F3-50D11B4D476D}" name=" BMI">
      <calculatedColumnFormula>Health[[#This Row],[Weight_kg]]/((Health[[#This Row],[Height_cm]]/100)^2)</calculatedColumnFormula>
    </tableColumn>
    <tableColumn id="13" xr3:uid="{5E12432E-A15D-4F6A-AFA6-86CA2F5244A4}" name=" Health_Status">
      <calculatedColumnFormula>IF(Health[[#This Row],[ BMI]]&lt;18.5,"Under Weight",IF(Health[[#This Row],[ BMI]]&lt;=24.9,"Healthy Weight",IF(Health[[#This Row],[ BMI]]&lt;=29.9,"Over Weight","Obese")))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4F8F7CA-0E8C-4911-AA0D-D73B0FC38542}" name="Region" displayName="Region" ref="C5:D10" tableType="queryTable" totalsRowShown="0">
  <autoFilter ref="C5:D10" xr:uid="{D4F8F7CA-0E8C-4911-AA0D-D73B0FC38542}"/>
  <tableColumns count="2">
    <tableColumn id="1" xr3:uid="{9085D6CD-B076-4ECD-9984-E67246C1E221}" uniqueName="1" name="Region" queryTableFieldId="1" dataDxfId="0"/>
    <tableColumn id="2" xr3:uid="{87F4779F-53D0-41EC-A373-916A55AF4986}" uniqueName="2" name=" Child_Count"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A7CF3-8F4C-4A54-9B1B-01F3404CBF38}">
  <dimension ref="A1:P107"/>
  <sheetViews>
    <sheetView tabSelected="1" workbookViewId="0">
      <selection activeCell="G107" sqref="G107"/>
    </sheetView>
  </sheetViews>
  <sheetFormatPr defaultRowHeight="14.4" x14ac:dyDescent="0.3"/>
  <cols>
    <col min="1" max="1" width="9.109375" customWidth="1"/>
    <col min="2" max="2" width="12.6640625" customWidth="1"/>
    <col min="3" max="3" width="9" customWidth="1"/>
    <col min="4" max="4" width="12.77734375" customWidth="1"/>
    <col min="5" max="5" width="13.109375" customWidth="1"/>
    <col min="6" max="6" width="19.5546875" customWidth="1"/>
    <col min="7" max="7" width="21.109375" customWidth="1"/>
    <col min="8" max="8" width="18.6640625" customWidth="1"/>
    <col min="9" max="9" width="18.44140625" customWidth="1"/>
    <col min="10" max="10" width="11" customWidth="1"/>
    <col min="11" max="11" width="12" customWidth="1"/>
    <col min="12" max="12" width="21.44140625" customWidth="1"/>
    <col min="13" max="13" width="11.6640625" customWidth="1"/>
  </cols>
  <sheetData>
    <row r="1" spans="1:16" x14ac:dyDescent="0.3">
      <c r="A1" t="s">
        <v>0</v>
      </c>
      <c r="B1" t="s">
        <v>1</v>
      </c>
      <c r="C1" t="s">
        <v>2</v>
      </c>
      <c r="D1" t="s">
        <v>3</v>
      </c>
      <c r="E1" t="s">
        <v>4</v>
      </c>
      <c r="F1" t="s">
        <v>5</v>
      </c>
      <c r="G1" t="s">
        <v>6</v>
      </c>
      <c r="H1" t="s">
        <v>7</v>
      </c>
      <c r="I1" t="s">
        <v>8</v>
      </c>
      <c r="J1" t="s">
        <v>9</v>
      </c>
      <c r="K1" t="s">
        <v>117</v>
      </c>
      <c r="L1" t="s">
        <v>118</v>
      </c>
    </row>
    <row r="2" spans="1:16" x14ac:dyDescent="0.3">
      <c r="A2" t="s">
        <v>10</v>
      </c>
      <c r="B2">
        <v>47</v>
      </c>
      <c r="C2" t="s">
        <v>11</v>
      </c>
      <c r="D2">
        <v>104.41</v>
      </c>
      <c r="E2">
        <v>17.34</v>
      </c>
      <c r="F2">
        <v>1</v>
      </c>
      <c r="G2">
        <v>2</v>
      </c>
      <c r="H2">
        <v>3</v>
      </c>
      <c r="I2">
        <v>1.2</v>
      </c>
      <c r="J2" t="s">
        <v>12</v>
      </c>
      <c r="K2" s="1">
        <f>Health[[#This Row],[Weight_kg]]/((Health[[#This Row],[Height_cm]]/100)^2)</f>
        <v>15.90614369846883</v>
      </c>
      <c r="L2" t="str">
        <f>IF(Health[[#This Row],[ BMI]]&lt;18.5,"Under Weight",IF(Health[[#This Row],[ BMI]]&lt;=24.9,"Healthy Weight",IF(Health[[#This Row],[ BMI]]&lt;=29.9,"Over Weight","Obese")))</f>
        <v>Under Weight</v>
      </c>
    </row>
    <row r="3" spans="1:16" x14ac:dyDescent="0.3">
      <c r="A3" t="s">
        <v>13</v>
      </c>
      <c r="B3">
        <v>34</v>
      </c>
      <c r="C3" t="s">
        <v>11</v>
      </c>
      <c r="D3">
        <v>99.08</v>
      </c>
      <c r="E3">
        <v>16.21</v>
      </c>
      <c r="F3">
        <v>0</v>
      </c>
      <c r="G3">
        <v>1</v>
      </c>
      <c r="H3">
        <v>1</v>
      </c>
      <c r="I3">
        <v>1.4</v>
      </c>
      <c r="J3" t="s">
        <v>14</v>
      </c>
      <c r="K3" s="1">
        <f>Health[[#This Row],[Weight_kg]]/((Health[[#This Row],[Height_cm]]/100)^2)</f>
        <v>16.512431120446177</v>
      </c>
      <c r="L3" t="str">
        <f>IF(Health[[#This Row],[ BMI]]&lt;18.5,"Under Weight",IF(Health[[#This Row],[ BMI]]&lt;=24.9,"Healthy Weight",IF(Health[[#This Row],[ BMI]]&lt;=29.9,"Over Weight","Obese")))</f>
        <v>Under Weight</v>
      </c>
    </row>
    <row r="4" spans="1:16" x14ac:dyDescent="0.3">
      <c r="A4" t="s">
        <v>15</v>
      </c>
      <c r="B4">
        <v>35</v>
      </c>
      <c r="C4" t="s">
        <v>11</v>
      </c>
      <c r="D4">
        <v>94.96</v>
      </c>
      <c r="E4">
        <v>17.3</v>
      </c>
      <c r="F4">
        <v>3</v>
      </c>
      <c r="G4">
        <v>3</v>
      </c>
      <c r="H4">
        <v>2</v>
      </c>
      <c r="I4">
        <v>0.6</v>
      </c>
      <c r="J4" t="s">
        <v>14</v>
      </c>
      <c r="K4" s="1">
        <f>Health[[#This Row],[Weight_kg]]/((Health[[#This Row],[Height_cm]]/100)^2)</f>
        <v>19.185127564907393</v>
      </c>
      <c r="L4" t="str">
        <f>IF(Health[[#This Row],[ BMI]]&lt;18.5,"Under Weight",IF(Health[[#This Row],[ BMI]]&lt;=24.9,"Healthy Weight",IF(Health[[#This Row],[ BMI]]&lt;=29.9,"Over Weight","Obese")))</f>
        <v>Healthy Weight</v>
      </c>
    </row>
    <row r="5" spans="1:16" x14ac:dyDescent="0.3">
      <c r="A5" t="s">
        <v>16</v>
      </c>
      <c r="B5">
        <v>39</v>
      </c>
      <c r="C5" t="s">
        <v>11</v>
      </c>
      <c r="D5">
        <v>100.65</v>
      </c>
      <c r="E5">
        <v>20.010000000000002</v>
      </c>
      <c r="F5">
        <v>2</v>
      </c>
      <c r="G5">
        <v>0</v>
      </c>
      <c r="H5">
        <v>1</v>
      </c>
      <c r="I5">
        <v>1.5</v>
      </c>
      <c r="J5" t="s">
        <v>14</v>
      </c>
      <c r="K5" s="1">
        <f>Health[[#This Row],[Weight_kg]]/((Health[[#This Row],[Height_cm]]/100)^2)</f>
        <v>19.75238446372795</v>
      </c>
      <c r="L5" t="str">
        <f>IF(Health[[#This Row],[ BMI]]&lt;18.5,"Under Weight",IF(Health[[#This Row],[ BMI]]&lt;=24.9,"Healthy Weight",IF(Health[[#This Row],[ BMI]]&lt;=29.9,"Over Weight","Obese")))</f>
        <v>Healthy Weight</v>
      </c>
    </row>
    <row r="6" spans="1:16" x14ac:dyDescent="0.3">
      <c r="A6" t="s">
        <v>17</v>
      </c>
      <c r="B6">
        <v>26</v>
      </c>
      <c r="C6" t="s">
        <v>11</v>
      </c>
      <c r="D6">
        <v>90.06</v>
      </c>
      <c r="E6">
        <v>12.16</v>
      </c>
      <c r="F6">
        <v>0</v>
      </c>
      <c r="G6">
        <v>1</v>
      </c>
      <c r="H6">
        <v>0</v>
      </c>
      <c r="I6">
        <v>0.9</v>
      </c>
      <c r="J6" t="s">
        <v>12</v>
      </c>
      <c r="K6" s="1">
        <f>Health[[#This Row],[Weight_kg]]/((Health[[#This Row],[Height_cm]]/100)^2)</f>
        <v>14.992349216790304</v>
      </c>
      <c r="L6" t="str">
        <f>IF(Health[[#This Row],[ BMI]]&lt;18.5,"Under Weight",IF(Health[[#This Row],[ BMI]]&lt;=24.9,"Healthy Weight",IF(Health[[#This Row],[ BMI]]&lt;=29.9,"Over Weight","Obese")))</f>
        <v>Under Weight</v>
      </c>
    </row>
    <row r="7" spans="1:16" x14ac:dyDescent="0.3">
      <c r="A7" t="s">
        <v>18</v>
      </c>
      <c r="B7">
        <v>51</v>
      </c>
      <c r="C7" t="s">
        <v>19</v>
      </c>
      <c r="D7">
        <v>108.82</v>
      </c>
      <c r="E7">
        <v>21.54</v>
      </c>
      <c r="F7">
        <v>0</v>
      </c>
      <c r="G7">
        <v>1</v>
      </c>
      <c r="H7">
        <v>1</v>
      </c>
      <c r="I7">
        <v>0.9</v>
      </c>
      <c r="J7" t="s">
        <v>20</v>
      </c>
      <c r="K7" s="1">
        <f>Health[[#This Row],[Weight_kg]]/((Health[[#This Row],[Height_cm]]/100)^2)</f>
        <v>18.189813900132215</v>
      </c>
      <c r="L7" t="str">
        <f>IF(Health[[#This Row],[ BMI]]&lt;18.5,"Under Weight",IF(Health[[#This Row],[ BMI]]&lt;=24.9,"Healthy Weight",IF(Health[[#This Row],[ BMI]]&lt;=29.9,"Over Weight","Obese")))</f>
        <v>Under Weight</v>
      </c>
    </row>
    <row r="8" spans="1:16" x14ac:dyDescent="0.3">
      <c r="A8" t="s">
        <v>21</v>
      </c>
      <c r="B8">
        <v>52</v>
      </c>
      <c r="C8" t="s">
        <v>19</v>
      </c>
      <c r="D8">
        <v>110.28</v>
      </c>
      <c r="E8">
        <v>21.49</v>
      </c>
      <c r="F8">
        <v>4</v>
      </c>
      <c r="G8">
        <v>0</v>
      </c>
      <c r="H8">
        <v>2</v>
      </c>
      <c r="I8">
        <v>2.8</v>
      </c>
      <c r="J8" t="s">
        <v>12</v>
      </c>
      <c r="K8" s="1">
        <f>Health[[#This Row],[Weight_kg]]/((Health[[#This Row],[Height_cm]]/100)^2)</f>
        <v>17.67025840775398</v>
      </c>
      <c r="L8" t="str">
        <f>IF(Health[[#This Row],[ BMI]]&lt;18.5,"Under Weight",IF(Health[[#This Row],[ BMI]]&lt;=24.9,"Healthy Weight",IF(Health[[#This Row],[ BMI]]&lt;=29.9,"Over Weight","Obese")))</f>
        <v>Under Weight</v>
      </c>
    </row>
    <row r="9" spans="1:16" x14ac:dyDescent="0.3">
      <c r="A9" t="s">
        <v>22</v>
      </c>
      <c r="B9">
        <v>52</v>
      </c>
      <c r="C9" t="s">
        <v>11</v>
      </c>
      <c r="D9">
        <v>102.65</v>
      </c>
      <c r="E9">
        <v>19.55</v>
      </c>
      <c r="F9">
        <v>2</v>
      </c>
      <c r="G9">
        <v>2</v>
      </c>
      <c r="H9">
        <v>1</v>
      </c>
      <c r="I9">
        <v>1.3</v>
      </c>
      <c r="J9" t="s">
        <v>14</v>
      </c>
      <c r="K9" s="1">
        <f>Health[[#This Row],[Weight_kg]]/((Health[[#This Row],[Height_cm]]/100)^2)</f>
        <v>18.553628408784363</v>
      </c>
      <c r="L9" t="str">
        <f>IF(Health[[#This Row],[ BMI]]&lt;18.5,"Under Weight",IF(Health[[#This Row],[ BMI]]&lt;=24.9,"Healthy Weight",IF(Health[[#This Row],[ BMI]]&lt;=29.9,"Over Weight","Obese")))</f>
        <v>Healthy Weight</v>
      </c>
    </row>
    <row r="10" spans="1:16" x14ac:dyDescent="0.3">
      <c r="A10" t="s">
        <v>23</v>
      </c>
      <c r="B10">
        <v>28</v>
      </c>
      <c r="C10" t="s">
        <v>19</v>
      </c>
      <c r="D10">
        <v>91.47</v>
      </c>
      <c r="E10">
        <v>16.39</v>
      </c>
      <c r="F10">
        <v>3</v>
      </c>
      <c r="G10">
        <v>2</v>
      </c>
      <c r="H10">
        <v>3</v>
      </c>
      <c r="I10">
        <v>0.8</v>
      </c>
      <c r="J10" t="s">
        <v>24</v>
      </c>
      <c r="K10" s="1">
        <f>Health[[#This Row],[Weight_kg]]/((Health[[#This Row],[Height_cm]]/100)^2)</f>
        <v>19.589420799631078</v>
      </c>
      <c r="L10" t="str">
        <f>IF(Health[[#This Row],[ BMI]]&lt;18.5,"Under Weight",IF(Health[[#This Row],[ BMI]]&lt;=24.9,"Healthy Weight",IF(Health[[#This Row],[ BMI]]&lt;=29.9,"Over Weight","Obese")))</f>
        <v>Healthy Weight</v>
      </c>
      <c r="N10" s="1"/>
    </row>
    <row r="11" spans="1:16" x14ac:dyDescent="0.3">
      <c r="A11" t="s">
        <v>25</v>
      </c>
      <c r="B11">
        <v>44</v>
      </c>
      <c r="C11" t="s">
        <v>11</v>
      </c>
      <c r="D11">
        <v>111.89</v>
      </c>
      <c r="E11">
        <v>17.95</v>
      </c>
      <c r="F11">
        <v>1</v>
      </c>
      <c r="G11">
        <v>3</v>
      </c>
      <c r="H11">
        <v>0</v>
      </c>
      <c r="I11">
        <v>0.8</v>
      </c>
      <c r="J11" t="s">
        <v>14</v>
      </c>
      <c r="K11" s="1">
        <f>Health[[#This Row],[Weight_kg]]/((Health[[#This Row],[Height_cm]]/100)^2)</f>
        <v>14.337779767724934</v>
      </c>
      <c r="L11" t="str">
        <f>IF(Health[[#This Row],[ BMI]]&lt;18.5,"Under Weight",IF(Health[[#This Row],[ BMI]]&lt;=24.9,"Healthy Weight",IF(Health[[#This Row],[ BMI]]&lt;=29.9,"Over Weight","Obese")))</f>
        <v>Under Weight</v>
      </c>
    </row>
    <row r="12" spans="1:16" x14ac:dyDescent="0.3">
      <c r="A12" t="s">
        <v>26</v>
      </c>
      <c r="B12">
        <v>25</v>
      </c>
      <c r="C12" t="s">
        <v>19</v>
      </c>
      <c r="D12">
        <v>96.25</v>
      </c>
      <c r="E12">
        <v>13.5</v>
      </c>
      <c r="F12">
        <v>3</v>
      </c>
      <c r="G12">
        <v>4</v>
      </c>
      <c r="H12">
        <v>0</v>
      </c>
      <c r="I12">
        <v>0.6</v>
      </c>
      <c r="J12" t="s">
        <v>27</v>
      </c>
      <c r="K12" s="1">
        <f>Health[[#This Row],[Weight_kg]]/((Health[[#This Row],[Height_cm]]/100)^2)</f>
        <v>14.572440546466519</v>
      </c>
      <c r="L12" t="str">
        <f>IF(Health[[#This Row],[ BMI]]&lt;18.5,"Under Weight",IF(Health[[#This Row],[ BMI]]&lt;=24.9,"Healthy Weight",IF(Health[[#This Row],[ BMI]]&lt;=29.9,"Over Weight","Obese")))</f>
        <v>Under Weight</v>
      </c>
    </row>
    <row r="13" spans="1:16" x14ac:dyDescent="0.3">
      <c r="A13" t="s">
        <v>28</v>
      </c>
      <c r="B13">
        <v>32</v>
      </c>
      <c r="C13" t="s">
        <v>11</v>
      </c>
      <c r="D13">
        <v>96.02</v>
      </c>
      <c r="E13">
        <v>16.55</v>
      </c>
      <c r="F13">
        <v>2</v>
      </c>
      <c r="G13">
        <v>0</v>
      </c>
      <c r="H13">
        <v>2</v>
      </c>
      <c r="I13">
        <v>1</v>
      </c>
      <c r="J13" t="s">
        <v>24</v>
      </c>
      <c r="K13" s="1">
        <f>Health[[#This Row],[Weight_kg]]/((Health[[#This Row],[Height_cm]]/100)^2)</f>
        <v>17.950419185130364</v>
      </c>
      <c r="L13" t="str">
        <f>IF(Health[[#This Row],[ BMI]]&lt;18.5,"Under Weight",IF(Health[[#This Row],[ BMI]]&lt;=24.9,"Healthy Weight",IF(Health[[#This Row],[ BMI]]&lt;=29.9,"Over Weight","Obese")))</f>
        <v>Under Weight</v>
      </c>
    </row>
    <row r="14" spans="1:16" x14ac:dyDescent="0.3">
      <c r="A14" t="s">
        <v>29</v>
      </c>
      <c r="B14">
        <v>34</v>
      </c>
      <c r="C14" t="s">
        <v>19</v>
      </c>
      <c r="D14">
        <v>97.37</v>
      </c>
      <c r="E14">
        <v>15.55</v>
      </c>
      <c r="F14">
        <v>0</v>
      </c>
      <c r="G14">
        <v>1</v>
      </c>
      <c r="H14">
        <v>2</v>
      </c>
      <c r="I14">
        <v>1.3</v>
      </c>
      <c r="J14" t="s">
        <v>20</v>
      </c>
      <c r="K14" s="1">
        <f>Health[[#This Row],[Weight_kg]]/((Health[[#This Row],[Height_cm]]/100)^2)</f>
        <v>16.401367255945466</v>
      </c>
      <c r="L14" t="str">
        <f>IF(Health[[#This Row],[ BMI]]&lt;18.5,"Under Weight",IF(Health[[#This Row],[ BMI]]&lt;=24.9,"Healthy Weight",IF(Health[[#This Row],[ BMI]]&lt;=29.9,"Over Weight","Obese")))</f>
        <v>Under Weight</v>
      </c>
    </row>
    <row r="15" spans="1:16" x14ac:dyDescent="0.3">
      <c r="A15" t="s">
        <v>30</v>
      </c>
      <c r="B15">
        <v>49</v>
      </c>
      <c r="C15" t="s">
        <v>19</v>
      </c>
      <c r="D15">
        <v>108.39</v>
      </c>
      <c r="E15">
        <v>20.100000000000001</v>
      </c>
      <c r="F15">
        <v>0</v>
      </c>
      <c r="G15">
        <v>2</v>
      </c>
      <c r="H15">
        <v>3</v>
      </c>
      <c r="I15">
        <v>0.6</v>
      </c>
      <c r="J15" t="s">
        <v>20</v>
      </c>
      <c r="K15" s="1">
        <f>Health[[#This Row],[Weight_kg]]/((Health[[#This Row],[Height_cm]]/100)^2)</f>
        <v>17.108724180222072</v>
      </c>
      <c r="L15" t="str">
        <f>IF(Health[[#This Row],[ BMI]]&lt;18.5,"Under Weight",IF(Health[[#This Row],[ BMI]]&lt;=24.9,"Healthy Weight",IF(Health[[#This Row],[ BMI]]&lt;=29.9,"Over Weight","Obese")))</f>
        <v>Under Weight</v>
      </c>
      <c r="M15" s="22"/>
      <c r="N15" s="22"/>
    </row>
    <row r="16" spans="1:16" x14ac:dyDescent="0.3">
      <c r="A16" t="s">
        <v>31</v>
      </c>
      <c r="B16">
        <v>25</v>
      </c>
      <c r="C16" t="s">
        <v>19</v>
      </c>
      <c r="D16">
        <v>92.58</v>
      </c>
      <c r="E16">
        <v>15.13</v>
      </c>
      <c r="F16">
        <v>2</v>
      </c>
      <c r="G16">
        <v>2</v>
      </c>
      <c r="H16">
        <v>2</v>
      </c>
      <c r="I16">
        <v>1.6</v>
      </c>
      <c r="J16" t="s">
        <v>14</v>
      </c>
      <c r="K16" s="1">
        <f>Health[[#This Row],[Weight_kg]]/((Health[[#This Row],[Height_cm]]/100)^2)</f>
        <v>17.652433135313405</v>
      </c>
      <c r="L16" t="str">
        <f>IF(Health[[#This Row],[ BMI]]&lt;18.5,"Under Weight",IF(Health[[#This Row],[ BMI]]&lt;=24.9,"Healthy Weight",IF(Health[[#This Row],[ BMI]]&lt;=29.9,"Over Weight","Obese")))</f>
        <v>Under Weight</v>
      </c>
      <c r="M16" s="22"/>
      <c r="N16" s="23"/>
      <c r="P16" s="1"/>
    </row>
    <row r="17" spans="1:14" x14ac:dyDescent="0.3">
      <c r="A17" t="s">
        <v>32</v>
      </c>
      <c r="B17">
        <v>38</v>
      </c>
      <c r="C17" t="s">
        <v>19</v>
      </c>
      <c r="D17">
        <v>99.65</v>
      </c>
      <c r="E17">
        <v>16.940000000000001</v>
      </c>
      <c r="F17">
        <v>1</v>
      </c>
      <c r="G17">
        <v>3</v>
      </c>
      <c r="H17">
        <v>3</v>
      </c>
      <c r="I17">
        <v>2.1</v>
      </c>
      <c r="J17" t="s">
        <v>14</v>
      </c>
      <c r="K17" s="1">
        <f>Health[[#This Row],[Weight_kg]]/((Health[[#This Row],[Height_cm]]/100)^2)</f>
        <v>17.059205462973896</v>
      </c>
      <c r="L17" t="str">
        <f>IF(Health[[#This Row],[ BMI]]&lt;18.5,"Under Weight",IF(Health[[#This Row],[ BMI]]&lt;=24.9,"Healthy Weight",IF(Health[[#This Row],[ BMI]]&lt;=29.9,"Over Weight","Obese")))</f>
        <v>Under Weight</v>
      </c>
      <c r="M17" s="22"/>
      <c r="N17" s="22"/>
    </row>
    <row r="18" spans="1:14" x14ac:dyDescent="0.3">
      <c r="A18" t="s">
        <v>33</v>
      </c>
      <c r="B18">
        <v>38</v>
      </c>
      <c r="C18" t="s">
        <v>11</v>
      </c>
      <c r="D18">
        <v>98.91</v>
      </c>
      <c r="E18">
        <v>19.489999999999998</v>
      </c>
      <c r="F18">
        <v>0</v>
      </c>
      <c r="G18">
        <v>0</v>
      </c>
      <c r="H18">
        <v>3</v>
      </c>
      <c r="I18">
        <v>3.1</v>
      </c>
      <c r="J18" t="s">
        <v>14</v>
      </c>
      <c r="K18" s="1">
        <f>Health[[#This Row],[Weight_kg]]/((Health[[#This Row],[Height_cm]]/100)^2)</f>
        <v>19.92193117497148</v>
      </c>
      <c r="L18" t="str">
        <f>IF(Health[[#This Row],[ BMI]]&lt;18.5,"Under Weight",IF(Health[[#This Row],[ BMI]]&lt;=24.9,"Healthy Weight",IF(Health[[#This Row],[ BMI]]&lt;=29.9,"Over Weight","Obese")))</f>
        <v>Healthy Weight</v>
      </c>
      <c r="M18" s="22"/>
      <c r="N18" s="23"/>
    </row>
    <row r="19" spans="1:14" x14ac:dyDescent="0.3">
      <c r="A19" t="s">
        <v>34</v>
      </c>
      <c r="B19">
        <v>25</v>
      </c>
      <c r="C19" t="s">
        <v>11</v>
      </c>
      <c r="D19">
        <v>96.42</v>
      </c>
      <c r="E19">
        <v>14.69</v>
      </c>
      <c r="F19">
        <v>1</v>
      </c>
      <c r="G19">
        <v>3</v>
      </c>
      <c r="H19">
        <v>2</v>
      </c>
      <c r="I19">
        <v>1.2</v>
      </c>
      <c r="J19" t="s">
        <v>24</v>
      </c>
      <c r="K19" s="1">
        <f>Health[[#This Row],[Weight_kg]]/((Health[[#This Row],[Height_cm]]/100)^2)</f>
        <v>15.801108000799067</v>
      </c>
      <c r="L19" t="str">
        <f>IF(Health[[#This Row],[ BMI]]&lt;18.5,"Under Weight",IF(Health[[#This Row],[ BMI]]&lt;=24.9,"Healthy Weight",IF(Health[[#This Row],[ BMI]]&lt;=29.9,"Over Weight","Obese")))</f>
        <v>Under Weight</v>
      </c>
      <c r="M19" s="22"/>
      <c r="N19" s="22"/>
    </row>
    <row r="20" spans="1:14" x14ac:dyDescent="0.3">
      <c r="A20" t="s">
        <v>35</v>
      </c>
      <c r="B20">
        <v>57</v>
      </c>
      <c r="C20" t="s">
        <v>11</v>
      </c>
      <c r="D20">
        <v>109.26</v>
      </c>
      <c r="E20">
        <v>20.61</v>
      </c>
      <c r="F20">
        <v>3</v>
      </c>
      <c r="G20">
        <v>2</v>
      </c>
      <c r="H20">
        <v>1</v>
      </c>
      <c r="I20">
        <v>2</v>
      </c>
      <c r="J20" t="s">
        <v>20</v>
      </c>
      <c r="K20" s="1">
        <f>Health[[#This Row],[Weight_kg]]/((Health[[#This Row],[Height_cm]]/100)^2)</f>
        <v>17.264563375422682</v>
      </c>
      <c r="L20" t="str">
        <f>IF(Health[[#This Row],[ BMI]]&lt;18.5,"Under Weight",IF(Health[[#This Row],[ BMI]]&lt;=24.9,"Healthy Weight",IF(Health[[#This Row],[ BMI]]&lt;=29.9,"Over Weight","Obese")))</f>
        <v>Under Weight</v>
      </c>
    </row>
    <row r="21" spans="1:14" x14ac:dyDescent="0.3">
      <c r="A21" t="s">
        <v>36</v>
      </c>
      <c r="B21">
        <v>34</v>
      </c>
      <c r="C21" t="s">
        <v>19</v>
      </c>
      <c r="D21">
        <v>98.22</v>
      </c>
      <c r="E21">
        <v>15.49</v>
      </c>
      <c r="F21">
        <v>1</v>
      </c>
      <c r="G21">
        <v>2</v>
      </c>
      <c r="H21">
        <v>0</v>
      </c>
      <c r="I21">
        <v>0.8</v>
      </c>
      <c r="J21" t="s">
        <v>14</v>
      </c>
      <c r="K21" s="1">
        <f>Health[[#This Row],[Weight_kg]]/((Health[[#This Row],[Height_cm]]/100)^2)</f>
        <v>16.056524938447225</v>
      </c>
      <c r="L21" t="str">
        <f>IF(Health[[#This Row],[ BMI]]&lt;18.5,"Under Weight",IF(Health[[#This Row],[ BMI]]&lt;=24.9,"Healthy Weight",IF(Health[[#This Row],[ BMI]]&lt;=29.9,"Over Weight","Obese")))</f>
        <v>Under Weight</v>
      </c>
    </row>
    <row r="22" spans="1:14" x14ac:dyDescent="0.3">
      <c r="A22" t="s">
        <v>37</v>
      </c>
      <c r="B22">
        <v>35</v>
      </c>
      <c r="C22" t="s">
        <v>11</v>
      </c>
      <c r="D22">
        <v>101.02</v>
      </c>
      <c r="E22">
        <v>16.760000000000002</v>
      </c>
      <c r="F22">
        <v>3</v>
      </c>
      <c r="G22">
        <v>2</v>
      </c>
      <c r="H22">
        <v>2</v>
      </c>
      <c r="I22">
        <v>1.9</v>
      </c>
      <c r="J22" t="s">
        <v>12</v>
      </c>
      <c r="K22" s="1">
        <f>Health[[#This Row],[Weight_kg]]/((Health[[#This Row],[Height_cm]]/100)^2)</f>
        <v>16.423256883921791</v>
      </c>
      <c r="L22" t="str">
        <f>IF(Health[[#This Row],[ BMI]]&lt;18.5,"Under Weight",IF(Health[[#This Row],[ BMI]]&lt;=24.9,"Healthy Weight",IF(Health[[#This Row],[ BMI]]&lt;=29.9,"Over Weight","Obese")))</f>
        <v>Under Weight</v>
      </c>
    </row>
    <row r="23" spans="1:14" x14ac:dyDescent="0.3">
      <c r="A23" t="s">
        <v>38</v>
      </c>
      <c r="B23">
        <v>56</v>
      </c>
      <c r="C23" t="s">
        <v>19</v>
      </c>
      <c r="D23">
        <v>111.44</v>
      </c>
      <c r="E23">
        <v>21.87</v>
      </c>
      <c r="F23">
        <v>4</v>
      </c>
      <c r="G23">
        <v>1</v>
      </c>
      <c r="H23">
        <v>2</v>
      </c>
      <c r="I23">
        <v>1.9</v>
      </c>
      <c r="J23" t="s">
        <v>20</v>
      </c>
      <c r="K23" s="1">
        <f>Health[[#This Row],[Weight_kg]]/((Health[[#This Row],[Height_cm]]/100)^2)</f>
        <v>17.610292772445963</v>
      </c>
      <c r="L23" t="str">
        <f>IF(Health[[#This Row],[ BMI]]&lt;18.5,"Under Weight",IF(Health[[#This Row],[ BMI]]&lt;=24.9,"Healthy Weight",IF(Health[[#This Row],[ BMI]]&lt;=29.9,"Over Weight","Obese")))</f>
        <v>Under Weight</v>
      </c>
    </row>
    <row r="24" spans="1:14" x14ac:dyDescent="0.3">
      <c r="A24" t="s">
        <v>39</v>
      </c>
      <c r="B24">
        <v>46</v>
      </c>
      <c r="C24" t="s">
        <v>19</v>
      </c>
      <c r="D24">
        <v>103.85</v>
      </c>
      <c r="E24">
        <v>19.47</v>
      </c>
      <c r="F24">
        <v>2</v>
      </c>
      <c r="G24">
        <v>4</v>
      </c>
      <c r="H24">
        <v>3</v>
      </c>
      <c r="I24">
        <v>2.9</v>
      </c>
      <c r="J24" t="s">
        <v>20</v>
      </c>
      <c r="K24" s="1">
        <f>Health[[#This Row],[Weight_kg]]/((Health[[#This Row],[Height_cm]]/100)^2)</f>
        <v>18.053148301698982</v>
      </c>
      <c r="L24" t="str">
        <f>IF(Health[[#This Row],[ BMI]]&lt;18.5,"Under Weight",IF(Health[[#This Row],[ BMI]]&lt;=24.9,"Healthy Weight",IF(Health[[#This Row],[ BMI]]&lt;=29.9,"Over Weight","Obese")))</f>
        <v>Under Weight</v>
      </c>
    </row>
    <row r="25" spans="1:14" x14ac:dyDescent="0.3">
      <c r="A25" t="s">
        <v>40</v>
      </c>
      <c r="B25">
        <v>35</v>
      </c>
      <c r="C25" t="s">
        <v>11</v>
      </c>
      <c r="D25">
        <v>102.67</v>
      </c>
      <c r="E25">
        <v>13.79</v>
      </c>
      <c r="F25">
        <v>4</v>
      </c>
      <c r="G25">
        <v>1</v>
      </c>
      <c r="H25">
        <v>1</v>
      </c>
      <c r="I25">
        <v>2</v>
      </c>
      <c r="J25" t="s">
        <v>14</v>
      </c>
      <c r="K25" s="1">
        <f>Health[[#This Row],[Weight_kg]]/((Health[[#This Row],[Height_cm]]/100)^2)</f>
        <v>13.082090287312587</v>
      </c>
      <c r="L25" t="str">
        <f>IF(Health[[#This Row],[ BMI]]&lt;18.5,"Under Weight",IF(Health[[#This Row],[ BMI]]&lt;=24.9,"Healthy Weight",IF(Health[[#This Row],[ BMI]]&lt;=29.9,"Over Weight","Obese")))</f>
        <v>Under Weight</v>
      </c>
    </row>
    <row r="26" spans="1:14" x14ac:dyDescent="0.3">
      <c r="A26" t="s">
        <v>41</v>
      </c>
      <c r="B26">
        <v>52</v>
      </c>
      <c r="C26" t="s">
        <v>19</v>
      </c>
      <c r="D26">
        <v>107.91</v>
      </c>
      <c r="E26">
        <v>19.27</v>
      </c>
      <c r="F26">
        <v>4</v>
      </c>
      <c r="G26">
        <v>0</v>
      </c>
      <c r="H26">
        <v>0</v>
      </c>
      <c r="I26">
        <v>0.8</v>
      </c>
      <c r="J26" t="s">
        <v>20</v>
      </c>
      <c r="K26" s="1">
        <f>Health[[#This Row],[Weight_kg]]/((Health[[#This Row],[Height_cm]]/100)^2)</f>
        <v>16.548488389191526</v>
      </c>
      <c r="L26" t="str">
        <f>IF(Health[[#This Row],[ BMI]]&lt;18.5,"Under Weight",IF(Health[[#This Row],[ BMI]]&lt;=24.9,"Healthy Weight",IF(Health[[#This Row],[ BMI]]&lt;=29.9,"Over Weight","Obese")))</f>
        <v>Under Weight</v>
      </c>
    </row>
    <row r="27" spans="1:14" x14ac:dyDescent="0.3">
      <c r="A27" t="s">
        <v>42</v>
      </c>
      <c r="B27">
        <v>30</v>
      </c>
      <c r="C27" t="s">
        <v>11</v>
      </c>
      <c r="D27">
        <v>96.67</v>
      </c>
      <c r="E27">
        <v>15.72</v>
      </c>
      <c r="F27">
        <v>3</v>
      </c>
      <c r="G27">
        <v>1</v>
      </c>
      <c r="H27">
        <v>2</v>
      </c>
      <c r="I27">
        <v>1.2</v>
      </c>
      <c r="J27" t="s">
        <v>24</v>
      </c>
      <c r="K27" s="1">
        <f>Health[[#This Row],[Weight_kg]]/((Health[[#This Row],[Height_cm]]/100)^2)</f>
        <v>16.821669829165565</v>
      </c>
      <c r="L27" t="str">
        <f>IF(Health[[#This Row],[ BMI]]&lt;18.5,"Under Weight",IF(Health[[#This Row],[ BMI]]&lt;=24.9,"Healthy Weight",IF(Health[[#This Row],[ BMI]]&lt;=29.9,"Over Weight","Obese")))</f>
        <v>Under Weight</v>
      </c>
    </row>
    <row r="28" spans="1:14" x14ac:dyDescent="0.3">
      <c r="A28" t="s">
        <v>43</v>
      </c>
      <c r="B28">
        <v>35</v>
      </c>
      <c r="C28" t="s">
        <v>19</v>
      </c>
      <c r="D28">
        <v>101.41</v>
      </c>
      <c r="E28">
        <v>19.45</v>
      </c>
      <c r="F28">
        <v>0</v>
      </c>
      <c r="G28">
        <v>4</v>
      </c>
      <c r="H28">
        <v>2</v>
      </c>
      <c r="I28">
        <v>1.9</v>
      </c>
      <c r="J28" t="s">
        <v>12</v>
      </c>
      <c r="K28" s="1">
        <f>Health[[#This Row],[Weight_kg]]/((Health[[#This Row],[Height_cm]]/100)^2)</f>
        <v>18.912896252767929</v>
      </c>
      <c r="L28" t="str">
        <f>IF(Health[[#This Row],[ BMI]]&lt;18.5,"Under Weight",IF(Health[[#This Row],[ BMI]]&lt;=24.9,"Healthy Weight",IF(Health[[#This Row],[ BMI]]&lt;=29.9,"Over Weight","Obese")))</f>
        <v>Healthy Weight</v>
      </c>
    </row>
    <row r="29" spans="1:14" x14ac:dyDescent="0.3">
      <c r="A29" t="s">
        <v>44</v>
      </c>
      <c r="B29">
        <v>32</v>
      </c>
      <c r="C29" t="s">
        <v>11</v>
      </c>
      <c r="D29">
        <v>102.28</v>
      </c>
      <c r="E29">
        <v>11.75</v>
      </c>
      <c r="F29">
        <v>2</v>
      </c>
      <c r="G29">
        <v>1</v>
      </c>
      <c r="H29">
        <v>1</v>
      </c>
      <c r="I29">
        <v>1.3</v>
      </c>
      <c r="J29" t="s">
        <v>20</v>
      </c>
      <c r="K29" s="1">
        <f>Health[[#This Row],[Weight_kg]]/((Health[[#This Row],[Height_cm]]/100)^2)</f>
        <v>11.23198275256877</v>
      </c>
      <c r="L29" t="str">
        <f>IF(Health[[#This Row],[ BMI]]&lt;18.5,"Under Weight",IF(Health[[#This Row],[ BMI]]&lt;=24.9,"Healthy Weight",IF(Health[[#This Row],[ BMI]]&lt;=29.9,"Over Weight","Obese")))</f>
        <v>Under Weight</v>
      </c>
    </row>
    <row r="30" spans="1:14" x14ac:dyDescent="0.3">
      <c r="A30" t="s">
        <v>45</v>
      </c>
      <c r="B30">
        <v>46</v>
      </c>
      <c r="C30" t="s">
        <v>19</v>
      </c>
      <c r="D30">
        <v>105.06</v>
      </c>
      <c r="E30">
        <v>17.260000000000002</v>
      </c>
      <c r="F30">
        <v>4</v>
      </c>
      <c r="G30">
        <v>1</v>
      </c>
      <c r="H30">
        <v>2</v>
      </c>
      <c r="I30">
        <v>0.8</v>
      </c>
      <c r="J30" t="s">
        <v>14</v>
      </c>
      <c r="K30" s="1">
        <f>Health[[#This Row],[Weight_kg]]/((Health[[#This Row],[Height_cm]]/100)^2)</f>
        <v>15.637452318001349</v>
      </c>
      <c r="L30" t="str">
        <f>IF(Health[[#This Row],[ BMI]]&lt;18.5,"Under Weight",IF(Health[[#This Row],[ BMI]]&lt;=24.9,"Healthy Weight",IF(Health[[#This Row],[ BMI]]&lt;=29.9,"Over Weight","Obese")))</f>
        <v>Under Weight</v>
      </c>
    </row>
    <row r="31" spans="1:14" x14ac:dyDescent="0.3">
      <c r="A31" t="s">
        <v>46</v>
      </c>
      <c r="B31">
        <v>43</v>
      </c>
      <c r="C31" t="s">
        <v>19</v>
      </c>
      <c r="D31">
        <v>103.22</v>
      </c>
      <c r="E31">
        <v>20.74</v>
      </c>
      <c r="F31">
        <v>2</v>
      </c>
      <c r="G31">
        <v>2</v>
      </c>
      <c r="H31">
        <v>3</v>
      </c>
      <c r="I31">
        <v>2.1</v>
      </c>
      <c r="J31" t="s">
        <v>12</v>
      </c>
      <c r="K31" s="1">
        <f>Health[[#This Row],[Weight_kg]]/((Health[[#This Row],[Height_cm]]/100)^2)</f>
        <v>19.466193791459283</v>
      </c>
      <c r="L31" t="str">
        <f>IF(Health[[#This Row],[ BMI]]&lt;18.5,"Under Weight",IF(Health[[#This Row],[ BMI]]&lt;=24.9,"Healthy Weight",IF(Health[[#This Row],[ BMI]]&lt;=29.9,"Over Weight","Obese")))</f>
        <v>Healthy Weight</v>
      </c>
    </row>
    <row r="32" spans="1:14" x14ac:dyDescent="0.3">
      <c r="A32" t="s">
        <v>47</v>
      </c>
      <c r="B32">
        <v>46</v>
      </c>
      <c r="C32" t="s">
        <v>11</v>
      </c>
      <c r="D32">
        <v>105.42</v>
      </c>
      <c r="E32">
        <v>20.23</v>
      </c>
      <c r="F32">
        <v>4</v>
      </c>
      <c r="G32">
        <v>0</v>
      </c>
      <c r="H32">
        <v>2</v>
      </c>
      <c r="I32">
        <v>2.2999999999999998</v>
      </c>
      <c r="J32" t="s">
        <v>27</v>
      </c>
      <c r="K32" s="1">
        <f>Health[[#This Row],[Weight_kg]]/((Health[[#This Row],[Height_cm]]/100)^2)</f>
        <v>18.203288786295403</v>
      </c>
      <c r="L32" t="str">
        <f>IF(Health[[#This Row],[ BMI]]&lt;18.5,"Under Weight",IF(Health[[#This Row],[ BMI]]&lt;=24.9,"Healthy Weight",IF(Health[[#This Row],[ BMI]]&lt;=29.9,"Over Weight","Obese")))</f>
        <v>Under Weight</v>
      </c>
    </row>
    <row r="33" spans="1:12" x14ac:dyDescent="0.3">
      <c r="A33" t="s">
        <v>48</v>
      </c>
      <c r="B33">
        <v>32</v>
      </c>
      <c r="C33" t="s">
        <v>19</v>
      </c>
      <c r="D33">
        <v>97.29</v>
      </c>
      <c r="E33">
        <v>12.89</v>
      </c>
      <c r="F33">
        <v>4</v>
      </c>
      <c r="G33">
        <v>2</v>
      </c>
      <c r="H33">
        <v>2</v>
      </c>
      <c r="I33">
        <v>1.3</v>
      </c>
      <c r="J33" t="s">
        <v>14</v>
      </c>
      <c r="K33" s="1">
        <f>Health[[#This Row],[Weight_kg]]/((Health[[#This Row],[Height_cm]]/100)^2)</f>
        <v>13.618099737124188</v>
      </c>
      <c r="L33" t="str">
        <f>IF(Health[[#This Row],[ BMI]]&lt;18.5,"Under Weight",IF(Health[[#This Row],[ BMI]]&lt;=24.9,"Healthy Weight",IF(Health[[#This Row],[ BMI]]&lt;=29.9,"Over Weight","Obese")))</f>
        <v>Under Weight</v>
      </c>
    </row>
    <row r="34" spans="1:12" x14ac:dyDescent="0.3">
      <c r="A34" t="s">
        <v>49</v>
      </c>
      <c r="B34">
        <v>46</v>
      </c>
      <c r="C34" t="s">
        <v>19</v>
      </c>
      <c r="D34">
        <v>106.22</v>
      </c>
      <c r="E34">
        <v>19.48</v>
      </c>
      <c r="F34">
        <v>4</v>
      </c>
      <c r="G34">
        <v>3</v>
      </c>
      <c r="H34">
        <v>0</v>
      </c>
      <c r="I34">
        <v>0.7</v>
      </c>
      <c r="J34" t="s">
        <v>12</v>
      </c>
      <c r="K34" s="1">
        <f>Health[[#This Row],[Weight_kg]]/((Health[[#This Row],[Height_cm]]/100)^2)</f>
        <v>17.26538862847617</v>
      </c>
      <c r="L34" t="str">
        <f>IF(Health[[#This Row],[ BMI]]&lt;18.5,"Under Weight",IF(Health[[#This Row],[ BMI]]&lt;=24.9,"Healthy Weight",IF(Health[[#This Row],[ BMI]]&lt;=29.9,"Over Weight","Obese")))</f>
        <v>Under Weight</v>
      </c>
    </row>
    <row r="35" spans="1:12" x14ac:dyDescent="0.3">
      <c r="A35" t="s">
        <v>50</v>
      </c>
      <c r="B35">
        <v>56</v>
      </c>
      <c r="C35" t="s">
        <v>11</v>
      </c>
      <c r="D35">
        <v>114.63</v>
      </c>
      <c r="E35">
        <v>20.11</v>
      </c>
      <c r="F35">
        <v>2</v>
      </c>
      <c r="G35">
        <v>1</v>
      </c>
      <c r="H35">
        <v>0</v>
      </c>
      <c r="I35">
        <v>0.8</v>
      </c>
      <c r="J35" t="s">
        <v>27</v>
      </c>
      <c r="K35" s="1">
        <f>Health[[#This Row],[Weight_kg]]/((Health[[#This Row],[Height_cm]]/100)^2)</f>
        <v>15.304371025015923</v>
      </c>
      <c r="L35" t="str">
        <f>IF(Health[[#This Row],[ BMI]]&lt;18.5,"Under Weight",IF(Health[[#This Row],[ BMI]]&lt;=24.9,"Healthy Weight",IF(Health[[#This Row],[ BMI]]&lt;=29.9,"Over Weight","Obese")))</f>
        <v>Under Weight</v>
      </c>
    </row>
    <row r="36" spans="1:12" x14ac:dyDescent="0.3">
      <c r="A36" t="s">
        <v>51</v>
      </c>
      <c r="B36">
        <v>30</v>
      </c>
      <c r="C36" t="s">
        <v>11</v>
      </c>
      <c r="D36">
        <v>93.15</v>
      </c>
      <c r="E36">
        <v>14.24</v>
      </c>
      <c r="F36">
        <v>1</v>
      </c>
      <c r="G36">
        <v>1</v>
      </c>
      <c r="H36">
        <v>2</v>
      </c>
      <c r="I36">
        <v>1.3</v>
      </c>
      <c r="J36" t="s">
        <v>14</v>
      </c>
      <c r="K36" s="1">
        <f>Health[[#This Row],[Weight_kg]]/((Health[[#This Row],[Height_cm]]/100)^2)</f>
        <v>16.411348608910586</v>
      </c>
      <c r="L36" t="str">
        <f>IF(Health[[#This Row],[ BMI]]&lt;18.5,"Under Weight",IF(Health[[#This Row],[ BMI]]&lt;=24.9,"Healthy Weight",IF(Health[[#This Row],[ BMI]]&lt;=29.9,"Over Weight","Obese")))</f>
        <v>Under Weight</v>
      </c>
    </row>
    <row r="37" spans="1:12" x14ac:dyDescent="0.3">
      <c r="A37" t="s">
        <v>52</v>
      </c>
      <c r="B37">
        <v>44</v>
      </c>
      <c r="C37" t="s">
        <v>11</v>
      </c>
      <c r="D37">
        <v>102.36</v>
      </c>
      <c r="E37">
        <v>19.600000000000001</v>
      </c>
      <c r="F37">
        <v>1</v>
      </c>
      <c r="G37">
        <v>2</v>
      </c>
      <c r="H37">
        <v>0</v>
      </c>
      <c r="I37">
        <v>0.9</v>
      </c>
      <c r="J37" t="s">
        <v>27</v>
      </c>
      <c r="K37" s="1">
        <f>Health[[#This Row],[Weight_kg]]/((Health[[#This Row],[Height_cm]]/100)^2)</f>
        <v>18.706628300517327</v>
      </c>
      <c r="L37" t="str">
        <f>IF(Health[[#This Row],[ BMI]]&lt;18.5,"Under Weight",IF(Health[[#This Row],[ BMI]]&lt;=24.9,"Healthy Weight",IF(Health[[#This Row],[ BMI]]&lt;=29.9,"Over Weight","Obese")))</f>
        <v>Healthy Weight</v>
      </c>
    </row>
    <row r="38" spans="1:12" x14ac:dyDescent="0.3">
      <c r="A38" t="s">
        <v>53</v>
      </c>
      <c r="B38">
        <v>43</v>
      </c>
      <c r="C38" t="s">
        <v>11</v>
      </c>
      <c r="D38">
        <v>105.34</v>
      </c>
      <c r="E38">
        <v>14.14</v>
      </c>
      <c r="F38">
        <v>4</v>
      </c>
      <c r="G38">
        <v>3</v>
      </c>
      <c r="H38">
        <v>0</v>
      </c>
      <c r="I38">
        <v>0.8</v>
      </c>
      <c r="J38" t="s">
        <v>20</v>
      </c>
      <c r="K38" s="1">
        <f>Health[[#This Row],[Weight_kg]]/((Health[[#This Row],[Height_cm]]/100)^2)</f>
        <v>12.742738810730817</v>
      </c>
      <c r="L38" t="str">
        <f>IF(Health[[#This Row],[ BMI]]&lt;18.5,"Under Weight",IF(Health[[#This Row],[ BMI]]&lt;=24.9,"Healthy Weight",IF(Health[[#This Row],[ BMI]]&lt;=29.9,"Over Weight","Obese")))</f>
        <v>Under Weight</v>
      </c>
    </row>
    <row r="39" spans="1:12" x14ac:dyDescent="0.3">
      <c r="A39" t="s">
        <v>54</v>
      </c>
      <c r="B39">
        <v>31</v>
      </c>
      <c r="C39" t="s">
        <v>11</v>
      </c>
      <c r="D39">
        <v>96.26</v>
      </c>
      <c r="E39">
        <v>17.63</v>
      </c>
      <c r="F39">
        <v>3</v>
      </c>
      <c r="G39">
        <v>3</v>
      </c>
      <c r="H39">
        <v>2</v>
      </c>
      <c r="I39">
        <v>1.7</v>
      </c>
      <c r="J39" t="s">
        <v>20</v>
      </c>
      <c r="K39" s="1">
        <f>Health[[#This Row],[Weight_kg]]/((Health[[#This Row],[Height_cm]]/100)^2)</f>
        <v>19.026574134418222</v>
      </c>
      <c r="L39" t="str">
        <f>IF(Health[[#This Row],[ BMI]]&lt;18.5,"Under Weight",IF(Health[[#This Row],[ BMI]]&lt;=24.9,"Healthy Weight",IF(Health[[#This Row],[ BMI]]&lt;=29.9,"Over Weight","Obese")))</f>
        <v>Healthy Weight</v>
      </c>
    </row>
    <row r="40" spans="1:12" x14ac:dyDescent="0.3">
      <c r="A40" t="s">
        <v>55</v>
      </c>
      <c r="B40">
        <v>28</v>
      </c>
      <c r="C40" t="s">
        <v>19</v>
      </c>
      <c r="D40">
        <v>97.25</v>
      </c>
      <c r="E40">
        <v>14.98</v>
      </c>
      <c r="F40">
        <v>3</v>
      </c>
      <c r="G40">
        <v>4</v>
      </c>
      <c r="H40">
        <v>3</v>
      </c>
      <c r="I40">
        <v>3.2</v>
      </c>
      <c r="J40" t="s">
        <v>14</v>
      </c>
      <c r="K40" s="1">
        <f>Health[[#This Row],[Weight_kg]]/((Health[[#This Row],[Height_cm]]/100)^2)</f>
        <v>15.839176320537135</v>
      </c>
      <c r="L40" t="str">
        <f>IF(Health[[#This Row],[ BMI]]&lt;18.5,"Under Weight",IF(Health[[#This Row],[ BMI]]&lt;=24.9,"Healthy Weight",IF(Health[[#This Row],[ BMI]]&lt;=29.9,"Over Weight","Obese")))</f>
        <v>Under Weight</v>
      </c>
    </row>
    <row r="41" spans="1:12" x14ac:dyDescent="0.3">
      <c r="A41" t="s">
        <v>56</v>
      </c>
      <c r="B41">
        <v>48</v>
      </c>
      <c r="C41" t="s">
        <v>19</v>
      </c>
      <c r="D41">
        <v>108.23</v>
      </c>
      <c r="E41">
        <v>21</v>
      </c>
      <c r="F41">
        <v>3</v>
      </c>
      <c r="G41">
        <v>4</v>
      </c>
      <c r="H41">
        <v>0</v>
      </c>
      <c r="I41">
        <v>0.6</v>
      </c>
      <c r="J41" t="s">
        <v>14</v>
      </c>
      <c r="K41" s="1">
        <f>Health[[#This Row],[Weight_kg]]/((Health[[#This Row],[Height_cm]]/100)^2)</f>
        <v>17.927675301525785</v>
      </c>
      <c r="L41" t="str">
        <f>IF(Health[[#This Row],[ BMI]]&lt;18.5,"Under Weight",IF(Health[[#This Row],[ BMI]]&lt;=24.9,"Healthy Weight",IF(Health[[#This Row],[ BMI]]&lt;=29.9,"Over Weight","Obese")))</f>
        <v>Under Weight</v>
      </c>
    </row>
    <row r="42" spans="1:12" x14ac:dyDescent="0.3">
      <c r="A42" t="s">
        <v>57</v>
      </c>
      <c r="B42">
        <v>27</v>
      </c>
      <c r="C42" t="s">
        <v>19</v>
      </c>
      <c r="D42">
        <v>97</v>
      </c>
      <c r="E42">
        <v>15.12</v>
      </c>
      <c r="F42">
        <v>4</v>
      </c>
      <c r="G42">
        <v>0</v>
      </c>
      <c r="H42">
        <v>1</v>
      </c>
      <c r="I42">
        <v>1.7</v>
      </c>
      <c r="J42" t="s">
        <v>24</v>
      </c>
      <c r="K42" s="1">
        <f>Health[[#This Row],[Weight_kg]]/((Health[[#This Row],[Height_cm]]/100)^2)</f>
        <v>16.069720480391116</v>
      </c>
      <c r="L42" t="str">
        <f>IF(Health[[#This Row],[ BMI]]&lt;18.5,"Under Weight",IF(Health[[#This Row],[ BMI]]&lt;=24.9,"Healthy Weight",IF(Health[[#This Row],[ BMI]]&lt;=29.9,"Over Weight","Obese")))</f>
        <v>Under Weight</v>
      </c>
    </row>
    <row r="43" spans="1:12" x14ac:dyDescent="0.3">
      <c r="A43" t="s">
        <v>58</v>
      </c>
      <c r="B43">
        <v>45</v>
      </c>
      <c r="C43" t="s">
        <v>19</v>
      </c>
      <c r="D43">
        <v>107.27</v>
      </c>
      <c r="E43">
        <v>22.7</v>
      </c>
      <c r="F43">
        <v>4</v>
      </c>
      <c r="G43">
        <v>0</v>
      </c>
      <c r="H43">
        <v>0</v>
      </c>
      <c r="I43">
        <v>0.8</v>
      </c>
      <c r="J43" t="s">
        <v>12</v>
      </c>
      <c r="K43" s="1">
        <f>Health[[#This Row],[Weight_kg]]/((Health[[#This Row],[Height_cm]]/100)^2)</f>
        <v>19.727374806364303</v>
      </c>
      <c r="L43" t="str">
        <f>IF(Health[[#This Row],[ BMI]]&lt;18.5,"Under Weight",IF(Health[[#This Row],[ BMI]]&lt;=24.9,"Healthy Weight",IF(Health[[#This Row],[ BMI]]&lt;=29.9,"Over Weight","Obese")))</f>
        <v>Healthy Weight</v>
      </c>
    </row>
    <row r="44" spans="1:12" x14ac:dyDescent="0.3">
      <c r="A44" t="s">
        <v>59</v>
      </c>
      <c r="B44">
        <v>54</v>
      </c>
      <c r="C44" t="s">
        <v>19</v>
      </c>
      <c r="D44">
        <v>112.46</v>
      </c>
      <c r="E44">
        <v>21.36</v>
      </c>
      <c r="F44">
        <v>2</v>
      </c>
      <c r="G44">
        <v>0</v>
      </c>
      <c r="H44">
        <v>1</v>
      </c>
      <c r="I44">
        <v>1</v>
      </c>
      <c r="J44" t="s">
        <v>14</v>
      </c>
      <c r="K44" s="1">
        <f>Health[[#This Row],[Weight_kg]]/((Health[[#This Row],[Height_cm]]/100)^2)</f>
        <v>16.889044889405064</v>
      </c>
      <c r="L44" t="str">
        <f>IF(Health[[#This Row],[ BMI]]&lt;18.5,"Under Weight",IF(Health[[#This Row],[ BMI]]&lt;=24.9,"Healthy Weight",IF(Health[[#This Row],[ BMI]]&lt;=29.9,"Over Weight","Obese")))</f>
        <v>Under Weight</v>
      </c>
    </row>
    <row r="45" spans="1:12" x14ac:dyDescent="0.3">
      <c r="A45" t="s">
        <v>60</v>
      </c>
      <c r="B45">
        <v>40</v>
      </c>
      <c r="C45" t="s">
        <v>19</v>
      </c>
      <c r="D45">
        <v>103.32</v>
      </c>
      <c r="E45">
        <v>17.41</v>
      </c>
      <c r="F45">
        <v>1</v>
      </c>
      <c r="G45">
        <v>0</v>
      </c>
      <c r="H45">
        <v>2</v>
      </c>
      <c r="I45">
        <v>2</v>
      </c>
      <c r="J45" t="s">
        <v>20</v>
      </c>
      <c r="K45" s="1">
        <f>Health[[#This Row],[Weight_kg]]/((Health[[#This Row],[Height_cm]]/100)^2)</f>
        <v>16.309099267089127</v>
      </c>
      <c r="L45" t="str">
        <f>IF(Health[[#This Row],[ BMI]]&lt;18.5,"Under Weight",IF(Health[[#This Row],[ BMI]]&lt;=24.9,"Healthy Weight",IF(Health[[#This Row],[ BMI]]&lt;=29.9,"Over Weight","Obese")))</f>
        <v>Under Weight</v>
      </c>
    </row>
    <row r="46" spans="1:12" x14ac:dyDescent="0.3">
      <c r="A46" t="s">
        <v>61</v>
      </c>
      <c r="B46">
        <v>52</v>
      </c>
      <c r="C46" t="s">
        <v>11</v>
      </c>
      <c r="D46">
        <v>107.31</v>
      </c>
      <c r="E46">
        <v>17.34</v>
      </c>
      <c r="F46">
        <v>1</v>
      </c>
      <c r="G46">
        <v>3</v>
      </c>
      <c r="H46">
        <v>0</v>
      </c>
      <c r="I46">
        <v>0.5</v>
      </c>
      <c r="J46" t="s">
        <v>24</v>
      </c>
      <c r="K46" s="1">
        <f>Health[[#This Row],[Weight_kg]]/((Health[[#This Row],[Height_cm]]/100)^2)</f>
        <v>15.058048908803379</v>
      </c>
      <c r="L46" t="str">
        <f>IF(Health[[#This Row],[ BMI]]&lt;18.5,"Under Weight",IF(Health[[#This Row],[ BMI]]&lt;=24.9,"Healthy Weight",IF(Health[[#This Row],[ BMI]]&lt;=29.9,"Over Weight","Obese")))</f>
        <v>Under Weight</v>
      </c>
    </row>
    <row r="47" spans="1:12" x14ac:dyDescent="0.3">
      <c r="A47" t="s">
        <v>62</v>
      </c>
      <c r="B47">
        <v>34</v>
      </c>
      <c r="C47" t="s">
        <v>19</v>
      </c>
      <c r="D47">
        <v>99.12</v>
      </c>
      <c r="E47">
        <v>17.43</v>
      </c>
      <c r="F47">
        <v>3</v>
      </c>
      <c r="G47">
        <v>4</v>
      </c>
      <c r="H47">
        <v>3</v>
      </c>
      <c r="I47">
        <v>1.6</v>
      </c>
      <c r="J47" t="s">
        <v>12</v>
      </c>
      <c r="K47" s="1">
        <f>Health[[#This Row],[Weight_kg]]/((Health[[#This Row],[Height_cm]]/100)^2)</f>
        <v>17.740865378038603</v>
      </c>
      <c r="L47" t="str">
        <f>IF(Health[[#This Row],[ BMI]]&lt;18.5,"Under Weight",IF(Health[[#This Row],[ BMI]]&lt;=24.9,"Healthy Weight",IF(Health[[#This Row],[ BMI]]&lt;=29.9,"Over Weight","Obese")))</f>
        <v>Under Weight</v>
      </c>
    </row>
    <row r="48" spans="1:12" x14ac:dyDescent="0.3">
      <c r="A48" t="s">
        <v>63</v>
      </c>
      <c r="B48">
        <v>27</v>
      </c>
      <c r="C48" t="s">
        <v>19</v>
      </c>
      <c r="D48">
        <v>93.16</v>
      </c>
      <c r="E48">
        <v>15.53</v>
      </c>
      <c r="F48">
        <v>2</v>
      </c>
      <c r="G48">
        <v>2</v>
      </c>
      <c r="H48">
        <v>0</v>
      </c>
      <c r="I48">
        <v>0.8</v>
      </c>
      <c r="J48" t="s">
        <v>14</v>
      </c>
      <c r="K48" s="1">
        <f>Health[[#This Row],[Weight_kg]]/((Health[[#This Row],[Height_cm]]/100)^2)</f>
        <v>17.89420860909388</v>
      </c>
      <c r="L48" t="str">
        <f>IF(Health[[#This Row],[ BMI]]&lt;18.5,"Under Weight",IF(Health[[#This Row],[ BMI]]&lt;=24.9,"Healthy Weight",IF(Health[[#This Row],[ BMI]]&lt;=29.9,"Over Weight","Obese")))</f>
        <v>Under Weight</v>
      </c>
    </row>
    <row r="49" spans="1:12" x14ac:dyDescent="0.3">
      <c r="A49" t="s">
        <v>64</v>
      </c>
      <c r="B49">
        <v>55</v>
      </c>
      <c r="C49" t="s">
        <v>19</v>
      </c>
      <c r="D49">
        <v>111.49</v>
      </c>
      <c r="E49">
        <v>20.23</v>
      </c>
      <c r="F49">
        <v>1</v>
      </c>
      <c r="G49">
        <v>0</v>
      </c>
      <c r="H49">
        <v>1</v>
      </c>
      <c r="I49">
        <v>1.6</v>
      </c>
      <c r="J49" t="s">
        <v>24</v>
      </c>
      <c r="K49" s="1">
        <f>Health[[#This Row],[Weight_kg]]/((Health[[#This Row],[Height_cm]]/100)^2)</f>
        <v>16.27511447065158</v>
      </c>
      <c r="L49" t="str">
        <f>IF(Health[[#This Row],[ BMI]]&lt;18.5,"Under Weight",IF(Health[[#This Row],[ BMI]]&lt;=24.9,"Healthy Weight",IF(Health[[#This Row],[ BMI]]&lt;=29.9,"Over Weight","Obese")))</f>
        <v>Under Weight</v>
      </c>
    </row>
    <row r="50" spans="1:12" x14ac:dyDescent="0.3">
      <c r="A50" t="s">
        <v>65</v>
      </c>
      <c r="B50">
        <v>42</v>
      </c>
      <c r="C50" t="s">
        <v>11</v>
      </c>
      <c r="D50">
        <v>108.71</v>
      </c>
      <c r="E50">
        <v>16.2</v>
      </c>
      <c r="F50">
        <v>2</v>
      </c>
      <c r="G50">
        <v>1</v>
      </c>
      <c r="H50">
        <v>3</v>
      </c>
      <c r="I50">
        <v>1.1000000000000001</v>
      </c>
      <c r="J50" t="s">
        <v>24</v>
      </c>
      <c r="K50" s="1">
        <f>Health[[#This Row],[Weight_kg]]/((Health[[#This Row],[Height_cm]]/100)^2)</f>
        <v>13.708060833090812</v>
      </c>
      <c r="L50" t="str">
        <f>IF(Health[[#This Row],[ BMI]]&lt;18.5,"Under Weight",IF(Health[[#This Row],[ BMI]]&lt;=24.9,"Healthy Weight",IF(Health[[#This Row],[ BMI]]&lt;=29.9,"Over Weight","Obese")))</f>
        <v>Under Weight</v>
      </c>
    </row>
    <row r="51" spans="1:12" x14ac:dyDescent="0.3">
      <c r="A51" t="s">
        <v>66</v>
      </c>
      <c r="B51">
        <v>36</v>
      </c>
      <c r="C51" t="s">
        <v>11</v>
      </c>
      <c r="D51">
        <v>97.21</v>
      </c>
      <c r="E51">
        <v>13.41</v>
      </c>
      <c r="F51">
        <v>4</v>
      </c>
      <c r="G51">
        <v>3</v>
      </c>
      <c r="H51">
        <v>1</v>
      </c>
      <c r="I51">
        <v>0.9</v>
      </c>
      <c r="J51" t="s">
        <v>14</v>
      </c>
      <c r="K51" s="1">
        <f>Health[[#This Row],[Weight_kg]]/((Health[[#This Row],[Height_cm]]/100)^2)</f>
        <v>14.190800401461026</v>
      </c>
      <c r="L51" t="str">
        <f>IF(Health[[#This Row],[ BMI]]&lt;18.5,"Under Weight",IF(Health[[#This Row],[ BMI]]&lt;=24.9,"Healthy Weight",IF(Health[[#This Row],[ BMI]]&lt;=29.9,"Over Weight","Obese")))</f>
        <v>Under Weight</v>
      </c>
    </row>
    <row r="52" spans="1:12" x14ac:dyDescent="0.3">
      <c r="A52" t="s">
        <v>67</v>
      </c>
      <c r="B52">
        <v>34</v>
      </c>
      <c r="C52" t="s">
        <v>11</v>
      </c>
      <c r="D52">
        <v>98.46</v>
      </c>
      <c r="E52">
        <v>15.38</v>
      </c>
      <c r="F52">
        <v>3</v>
      </c>
      <c r="G52">
        <v>2</v>
      </c>
      <c r="H52">
        <v>2</v>
      </c>
      <c r="I52">
        <v>1.2</v>
      </c>
      <c r="J52" t="s">
        <v>12</v>
      </c>
      <c r="K52" s="1">
        <f>Health[[#This Row],[Weight_kg]]/((Health[[#This Row],[Height_cm]]/100)^2)</f>
        <v>15.864875656303504</v>
      </c>
      <c r="L52" t="str">
        <f>IF(Health[[#This Row],[ BMI]]&lt;18.5,"Under Weight",IF(Health[[#This Row],[ BMI]]&lt;=24.9,"Healthy Weight",IF(Health[[#This Row],[ BMI]]&lt;=29.9,"Over Weight","Obese")))</f>
        <v>Under Weight</v>
      </c>
    </row>
    <row r="53" spans="1:12" x14ac:dyDescent="0.3">
      <c r="A53" t="s">
        <v>68</v>
      </c>
      <c r="B53">
        <v>40</v>
      </c>
      <c r="C53" t="s">
        <v>11</v>
      </c>
      <c r="D53">
        <v>100.6</v>
      </c>
      <c r="E53">
        <v>17.309999999999999</v>
      </c>
      <c r="F53">
        <v>0</v>
      </c>
      <c r="G53">
        <v>3</v>
      </c>
      <c r="H53">
        <v>0</v>
      </c>
      <c r="I53">
        <v>0.6</v>
      </c>
      <c r="J53" t="s">
        <v>27</v>
      </c>
      <c r="K53" s="1">
        <f>Health[[#This Row],[Weight_kg]]/((Health[[#This Row],[Height_cm]]/100)^2)</f>
        <v>17.104134635526798</v>
      </c>
      <c r="L53" t="str">
        <f>IF(Health[[#This Row],[ BMI]]&lt;18.5,"Under Weight",IF(Health[[#This Row],[ BMI]]&lt;=24.9,"Healthy Weight",IF(Health[[#This Row],[ BMI]]&lt;=29.9,"Over Weight","Obese")))</f>
        <v>Under Weight</v>
      </c>
    </row>
    <row r="54" spans="1:12" x14ac:dyDescent="0.3">
      <c r="A54" t="s">
        <v>69</v>
      </c>
      <c r="B54">
        <v>39</v>
      </c>
      <c r="C54" t="s">
        <v>11</v>
      </c>
      <c r="D54">
        <v>96.54</v>
      </c>
      <c r="E54">
        <v>18.239999999999998</v>
      </c>
      <c r="F54">
        <v>4</v>
      </c>
      <c r="G54">
        <v>3</v>
      </c>
      <c r="H54">
        <v>1</v>
      </c>
      <c r="I54">
        <v>1.9</v>
      </c>
      <c r="J54" t="s">
        <v>27</v>
      </c>
      <c r="K54" s="1">
        <f>Health[[#This Row],[Weight_kg]]/((Health[[#This Row],[Height_cm]]/100)^2)</f>
        <v>19.570875087215928</v>
      </c>
      <c r="L54" t="str">
        <f>IF(Health[[#This Row],[ BMI]]&lt;18.5,"Under Weight",IF(Health[[#This Row],[ BMI]]&lt;=24.9,"Healthy Weight",IF(Health[[#This Row],[ BMI]]&lt;=29.9,"Over Weight","Obese")))</f>
        <v>Healthy Weight</v>
      </c>
    </row>
    <row r="55" spans="1:12" x14ac:dyDescent="0.3">
      <c r="A55" t="s">
        <v>70</v>
      </c>
      <c r="B55">
        <v>57</v>
      </c>
      <c r="C55" t="s">
        <v>19</v>
      </c>
      <c r="D55">
        <v>110.58</v>
      </c>
      <c r="E55">
        <v>21.99</v>
      </c>
      <c r="F55">
        <v>3</v>
      </c>
      <c r="G55">
        <v>0</v>
      </c>
      <c r="H55">
        <v>0</v>
      </c>
      <c r="I55">
        <v>0.9</v>
      </c>
      <c r="J55" t="s">
        <v>12</v>
      </c>
      <c r="K55" s="1">
        <f>Health[[#This Row],[Weight_kg]]/((Health[[#This Row],[Height_cm]]/100)^2)</f>
        <v>17.983410512341237</v>
      </c>
      <c r="L55" t="str">
        <f>IF(Health[[#This Row],[ BMI]]&lt;18.5,"Under Weight",IF(Health[[#This Row],[ BMI]]&lt;=24.9,"Healthy Weight",IF(Health[[#This Row],[ BMI]]&lt;=29.9,"Over Weight","Obese")))</f>
        <v>Under Weight</v>
      </c>
    </row>
    <row r="56" spans="1:12" x14ac:dyDescent="0.3">
      <c r="A56" t="s">
        <v>71</v>
      </c>
      <c r="B56">
        <v>50</v>
      </c>
      <c r="C56" t="s">
        <v>11</v>
      </c>
      <c r="D56">
        <v>114.47</v>
      </c>
      <c r="E56">
        <v>18.010000000000002</v>
      </c>
      <c r="F56">
        <v>1</v>
      </c>
      <c r="G56">
        <v>3</v>
      </c>
      <c r="H56">
        <v>0</v>
      </c>
      <c r="I56">
        <v>0.6</v>
      </c>
      <c r="J56" t="s">
        <v>24</v>
      </c>
      <c r="K56" s="1">
        <f>Health[[#This Row],[Weight_kg]]/((Health[[#This Row],[Height_cm]]/100)^2)</f>
        <v>13.744544356487417</v>
      </c>
      <c r="L56" t="str">
        <f>IF(Health[[#This Row],[ BMI]]&lt;18.5,"Under Weight",IF(Health[[#This Row],[ BMI]]&lt;=24.9,"Healthy Weight",IF(Health[[#This Row],[ BMI]]&lt;=29.9,"Over Weight","Obese")))</f>
        <v>Under Weight</v>
      </c>
    </row>
    <row r="57" spans="1:12" x14ac:dyDescent="0.3">
      <c r="A57" t="s">
        <v>72</v>
      </c>
      <c r="B57">
        <v>31</v>
      </c>
      <c r="C57" t="s">
        <v>11</v>
      </c>
      <c r="D57">
        <v>96.28</v>
      </c>
      <c r="E57">
        <v>16.84</v>
      </c>
      <c r="F57">
        <v>4</v>
      </c>
      <c r="G57">
        <v>2</v>
      </c>
      <c r="H57">
        <v>3</v>
      </c>
      <c r="I57">
        <v>0.5</v>
      </c>
      <c r="J57" t="s">
        <v>20</v>
      </c>
      <c r="K57" s="1">
        <f>Health[[#This Row],[Weight_kg]]/((Health[[#This Row],[Height_cm]]/100)^2)</f>
        <v>18.166443980296357</v>
      </c>
      <c r="L57" t="str">
        <f>IF(Health[[#This Row],[ BMI]]&lt;18.5,"Under Weight",IF(Health[[#This Row],[ BMI]]&lt;=24.9,"Healthy Weight",IF(Health[[#This Row],[ BMI]]&lt;=29.9,"Over Weight","Obese")))</f>
        <v>Under Weight</v>
      </c>
    </row>
    <row r="58" spans="1:12" x14ac:dyDescent="0.3">
      <c r="A58" t="s">
        <v>73</v>
      </c>
      <c r="B58">
        <v>44</v>
      </c>
      <c r="C58" t="s">
        <v>11</v>
      </c>
      <c r="D58">
        <v>104.76</v>
      </c>
      <c r="E58">
        <v>18.399999999999999</v>
      </c>
      <c r="F58">
        <v>4</v>
      </c>
      <c r="G58">
        <v>2</v>
      </c>
      <c r="H58">
        <v>1</v>
      </c>
      <c r="I58">
        <v>0.7</v>
      </c>
      <c r="J58" t="s">
        <v>12</v>
      </c>
      <c r="K58" s="1">
        <f>Health[[#This Row],[Weight_kg]]/((Health[[#This Row],[Height_cm]]/100)^2)</f>
        <v>16.765898919707524</v>
      </c>
      <c r="L58" t="str">
        <f>IF(Health[[#This Row],[ BMI]]&lt;18.5,"Under Weight",IF(Health[[#This Row],[ BMI]]&lt;=24.9,"Healthy Weight",IF(Health[[#This Row],[ BMI]]&lt;=29.9,"Over Weight","Obese")))</f>
        <v>Under Weight</v>
      </c>
    </row>
    <row r="59" spans="1:12" x14ac:dyDescent="0.3">
      <c r="A59" t="s">
        <v>74</v>
      </c>
      <c r="B59">
        <v>42</v>
      </c>
      <c r="C59" t="s">
        <v>19</v>
      </c>
      <c r="D59">
        <v>105.35</v>
      </c>
      <c r="E59">
        <v>19.88</v>
      </c>
      <c r="F59">
        <v>1</v>
      </c>
      <c r="G59">
        <v>2</v>
      </c>
      <c r="H59">
        <v>2</v>
      </c>
      <c r="I59">
        <v>2.8</v>
      </c>
      <c r="J59" t="s">
        <v>20</v>
      </c>
      <c r="K59" s="1">
        <f>Health[[#This Row],[Weight_kg]]/((Health[[#This Row],[Height_cm]]/100)^2)</f>
        <v>17.912132789452027</v>
      </c>
      <c r="L59" t="str">
        <f>IF(Health[[#This Row],[ BMI]]&lt;18.5,"Under Weight",IF(Health[[#This Row],[ BMI]]&lt;=24.9,"Healthy Weight",IF(Health[[#This Row],[ BMI]]&lt;=29.9,"Over Weight","Obese")))</f>
        <v>Under Weight</v>
      </c>
    </row>
    <row r="60" spans="1:12" x14ac:dyDescent="0.3">
      <c r="A60" t="s">
        <v>75</v>
      </c>
      <c r="B60">
        <v>59</v>
      </c>
      <c r="C60" t="s">
        <v>19</v>
      </c>
      <c r="D60">
        <v>110.75</v>
      </c>
      <c r="E60">
        <v>24.56</v>
      </c>
      <c r="F60">
        <v>4</v>
      </c>
      <c r="G60">
        <v>4</v>
      </c>
      <c r="H60">
        <v>1</v>
      </c>
      <c r="I60">
        <v>1.7</v>
      </c>
      <c r="J60" t="s">
        <v>12</v>
      </c>
      <c r="K60" s="1">
        <f>Health[[#This Row],[Weight_kg]]/((Health[[#This Row],[Height_cm]]/100)^2)</f>
        <v>20.023541521230683</v>
      </c>
      <c r="L60" t="str">
        <f>IF(Health[[#This Row],[ BMI]]&lt;18.5,"Under Weight",IF(Health[[#This Row],[ BMI]]&lt;=24.9,"Healthy Weight",IF(Health[[#This Row],[ BMI]]&lt;=29.9,"Over Weight","Obese")))</f>
        <v>Healthy Weight</v>
      </c>
    </row>
    <row r="61" spans="1:12" x14ac:dyDescent="0.3">
      <c r="A61" t="s">
        <v>76</v>
      </c>
      <c r="B61">
        <v>56</v>
      </c>
      <c r="C61" t="s">
        <v>19</v>
      </c>
      <c r="D61">
        <v>108</v>
      </c>
      <c r="E61">
        <v>22.24</v>
      </c>
      <c r="F61">
        <v>2</v>
      </c>
      <c r="G61">
        <v>4</v>
      </c>
      <c r="H61">
        <v>2</v>
      </c>
      <c r="I61">
        <v>1.1000000000000001</v>
      </c>
      <c r="J61" t="s">
        <v>14</v>
      </c>
      <c r="K61" s="1">
        <f>Health[[#This Row],[Weight_kg]]/((Health[[#This Row],[Height_cm]]/100)^2)</f>
        <v>19.067215363511657</v>
      </c>
      <c r="L61" t="str">
        <f>IF(Health[[#This Row],[ BMI]]&lt;18.5,"Under Weight",IF(Health[[#This Row],[ BMI]]&lt;=24.9,"Healthy Weight",IF(Health[[#This Row],[ BMI]]&lt;=29.9,"Over Weight","Obese")))</f>
        <v>Healthy Weight</v>
      </c>
    </row>
    <row r="62" spans="1:12" x14ac:dyDescent="0.3">
      <c r="A62" t="s">
        <v>77</v>
      </c>
      <c r="B62">
        <v>32</v>
      </c>
      <c r="C62" t="s">
        <v>11</v>
      </c>
      <c r="D62">
        <v>98.63</v>
      </c>
      <c r="E62">
        <v>17.96</v>
      </c>
      <c r="F62">
        <v>0</v>
      </c>
      <c r="G62">
        <v>0</v>
      </c>
      <c r="H62">
        <v>2</v>
      </c>
      <c r="I62">
        <v>2.6</v>
      </c>
      <c r="J62" t="s">
        <v>24</v>
      </c>
      <c r="K62" s="1">
        <f>Health[[#This Row],[Weight_kg]]/((Health[[#This Row],[Height_cm]]/100)^2)</f>
        <v>18.462404679483562</v>
      </c>
      <c r="L62" t="str">
        <f>IF(Health[[#This Row],[ BMI]]&lt;18.5,"Under Weight",IF(Health[[#This Row],[ BMI]]&lt;=24.9,"Healthy Weight",IF(Health[[#This Row],[ BMI]]&lt;=29.9,"Over Weight","Obese")))</f>
        <v>Under Weight</v>
      </c>
    </row>
    <row r="63" spans="1:12" x14ac:dyDescent="0.3">
      <c r="A63" t="s">
        <v>78</v>
      </c>
      <c r="B63">
        <v>47</v>
      </c>
      <c r="C63" t="s">
        <v>11</v>
      </c>
      <c r="D63">
        <v>103.57</v>
      </c>
      <c r="E63">
        <v>22.13</v>
      </c>
      <c r="F63">
        <v>3</v>
      </c>
      <c r="G63">
        <v>2</v>
      </c>
      <c r="H63">
        <v>0</v>
      </c>
      <c r="I63">
        <v>0.6</v>
      </c>
      <c r="J63" t="s">
        <v>12</v>
      </c>
      <c r="K63" s="1">
        <f>Health[[#This Row],[Weight_kg]]/((Health[[#This Row],[Height_cm]]/100)^2)</f>
        <v>20.630676133633052</v>
      </c>
      <c r="L63" t="str">
        <f>IF(Health[[#This Row],[ BMI]]&lt;18.5,"Under Weight",IF(Health[[#This Row],[ BMI]]&lt;=24.9,"Healthy Weight",IF(Health[[#This Row],[ BMI]]&lt;=29.9,"Over Weight","Obese")))</f>
        <v>Healthy Weight</v>
      </c>
    </row>
    <row r="64" spans="1:12" x14ac:dyDescent="0.3">
      <c r="A64" t="s">
        <v>79</v>
      </c>
      <c r="B64">
        <v>28</v>
      </c>
      <c r="C64" t="s">
        <v>19</v>
      </c>
      <c r="D64">
        <v>92.72</v>
      </c>
      <c r="E64">
        <v>15.7</v>
      </c>
      <c r="F64">
        <v>4</v>
      </c>
      <c r="G64">
        <v>0</v>
      </c>
      <c r="H64">
        <v>1</v>
      </c>
      <c r="I64">
        <v>0.5</v>
      </c>
      <c r="J64" t="s">
        <v>24</v>
      </c>
      <c r="K64" s="1">
        <f>Health[[#This Row],[Weight_kg]]/((Health[[#This Row],[Height_cm]]/100)^2)</f>
        <v>18.26218788176115</v>
      </c>
      <c r="L64" t="str">
        <f>IF(Health[[#This Row],[ BMI]]&lt;18.5,"Under Weight",IF(Health[[#This Row],[ BMI]]&lt;=24.9,"Healthy Weight",IF(Health[[#This Row],[ BMI]]&lt;=29.9,"Over Weight","Obese")))</f>
        <v>Under Weight</v>
      </c>
    </row>
    <row r="65" spans="1:12" x14ac:dyDescent="0.3">
      <c r="A65" t="s">
        <v>80</v>
      </c>
      <c r="B65">
        <v>56</v>
      </c>
      <c r="C65" t="s">
        <v>19</v>
      </c>
      <c r="D65">
        <v>113.3</v>
      </c>
      <c r="E65">
        <v>20.45</v>
      </c>
      <c r="F65">
        <v>2</v>
      </c>
      <c r="G65">
        <v>2</v>
      </c>
      <c r="H65">
        <v>2</v>
      </c>
      <c r="I65">
        <v>0.5</v>
      </c>
      <c r="J65" t="s">
        <v>27</v>
      </c>
      <c r="K65" s="1">
        <f>Health[[#This Row],[Weight_kg]]/((Health[[#This Row],[Height_cm]]/100)^2)</f>
        <v>15.930649869244029</v>
      </c>
      <c r="L65" t="str">
        <f>IF(Health[[#This Row],[ BMI]]&lt;18.5,"Under Weight",IF(Health[[#This Row],[ BMI]]&lt;=24.9,"Healthy Weight",IF(Health[[#This Row],[ BMI]]&lt;=29.9,"Over Weight","Obese")))</f>
        <v>Under Weight</v>
      </c>
    </row>
    <row r="66" spans="1:12" x14ac:dyDescent="0.3">
      <c r="A66" t="s">
        <v>81</v>
      </c>
      <c r="B66">
        <v>38</v>
      </c>
      <c r="C66" t="s">
        <v>19</v>
      </c>
      <c r="D66">
        <v>104.84</v>
      </c>
      <c r="E66">
        <v>19.829999999999998</v>
      </c>
      <c r="F66">
        <v>4</v>
      </c>
      <c r="G66">
        <v>0</v>
      </c>
      <c r="H66">
        <v>0</v>
      </c>
      <c r="I66">
        <v>0.8</v>
      </c>
      <c r="J66" t="s">
        <v>24</v>
      </c>
      <c r="K66" s="1">
        <f>Health[[#This Row],[Weight_kg]]/((Health[[#This Row],[Height_cm]]/100)^2)</f>
        <v>18.041335784504604</v>
      </c>
      <c r="L66" t="str">
        <f>IF(Health[[#This Row],[ BMI]]&lt;18.5,"Under Weight",IF(Health[[#This Row],[ BMI]]&lt;=24.9,"Healthy Weight",IF(Health[[#This Row],[ BMI]]&lt;=29.9,"Over Weight","Obese")))</f>
        <v>Under Weight</v>
      </c>
    </row>
    <row r="67" spans="1:12" x14ac:dyDescent="0.3">
      <c r="A67" t="s">
        <v>82</v>
      </c>
      <c r="B67">
        <v>50</v>
      </c>
      <c r="C67" t="s">
        <v>11</v>
      </c>
      <c r="D67">
        <v>104.56</v>
      </c>
      <c r="E67">
        <v>21.62</v>
      </c>
      <c r="F67">
        <v>4</v>
      </c>
      <c r="G67">
        <v>1</v>
      </c>
      <c r="H67">
        <v>1</v>
      </c>
      <c r="I67">
        <v>2</v>
      </c>
      <c r="J67" t="s">
        <v>12</v>
      </c>
      <c r="K67" s="1">
        <f>Health[[#This Row],[Weight_kg]]/((Health[[#This Row],[Height_cm]]/100)^2)</f>
        <v>19.775366471749727</v>
      </c>
      <c r="L67" t="str">
        <f>IF(Health[[#This Row],[ BMI]]&lt;18.5,"Under Weight",IF(Health[[#This Row],[ BMI]]&lt;=24.9,"Healthy Weight",IF(Health[[#This Row],[ BMI]]&lt;=29.9,"Over Weight","Obese")))</f>
        <v>Healthy Weight</v>
      </c>
    </row>
    <row r="68" spans="1:12" x14ac:dyDescent="0.3">
      <c r="A68" t="s">
        <v>83</v>
      </c>
      <c r="B68">
        <v>27</v>
      </c>
      <c r="C68" t="s">
        <v>19</v>
      </c>
      <c r="D68">
        <v>97.32</v>
      </c>
      <c r="E68">
        <v>16.28</v>
      </c>
      <c r="F68">
        <v>2</v>
      </c>
      <c r="G68">
        <v>4</v>
      </c>
      <c r="H68">
        <v>0</v>
      </c>
      <c r="I68">
        <v>0.8</v>
      </c>
      <c r="J68" t="s">
        <v>12</v>
      </c>
      <c r="K68" s="1">
        <f>Health[[#This Row],[Weight_kg]]/((Health[[#This Row],[Height_cm]]/100)^2)</f>
        <v>17.188983711262917</v>
      </c>
      <c r="L68" t="str">
        <f>IF(Health[[#This Row],[ BMI]]&lt;18.5,"Under Weight",IF(Health[[#This Row],[ BMI]]&lt;=24.9,"Healthy Weight",IF(Health[[#This Row],[ BMI]]&lt;=29.9,"Over Weight","Obese")))</f>
        <v>Under Weight</v>
      </c>
    </row>
    <row r="69" spans="1:12" x14ac:dyDescent="0.3">
      <c r="A69" t="s">
        <v>84</v>
      </c>
      <c r="B69">
        <v>32</v>
      </c>
      <c r="C69" t="s">
        <v>11</v>
      </c>
      <c r="D69">
        <v>103.58</v>
      </c>
      <c r="E69">
        <v>15.12</v>
      </c>
      <c r="F69">
        <v>4</v>
      </c>
      <c r="G69">
        <v>0</v>
      </c>
      <c r="H69">
        <v>2</v>
      </c>
      <c r="I69">
        <v>1.8</v>
      </c>
      <c r="J69" t="s">
        <v>20</v>
      </c>
      <c r="K69" s="1">
        <f>Health[[#This Row],[Weight_kg]]/((Health[[#This Row],[Height_cm]]/100)^2)</f>
        <v>14.092887263873765</v>
      </c>
      <c r="L69" t="str">
        <f>IF(Health[[#This Row],[ BMI]]&lt;18.5,"Under Weight",IF(Health[[#This Row],[ BMI]]&lt;=24.9,"Healthy Weight",IF(Health[[#This Row],[ BMI]]&lt;=29.9,"Over Weight","Obese")))</f>
        <v>Under Weight</v>
      </c>
    </row>
    <row r="70" spans="1:12" x14ac:dyDescent="0.3">
      <c r="A70" t="s">
        <v>85</v>
      </c>
      <c r="B70">
        <v>53</v>
      </c>
      <c r="C70" t="s">
        <v>19</v>
      </c>
      <c r="D70">
        <v>105.92</v>
      </c>
      <c r="E70">
        <v>22.98</v>
      </c>
      <c r="F70">
        <v>2</v>
      </c>
      <c r="G70">
        <v>0</v>
      </c>
      <c r="H70">
        <v>0</v>
      </c>
      <c r="I70">
        <v>0.8</v>
      </c>
      <c r="J70" t="s">
        <v>27</v>
      </c>
      <c r="K70" s="1">
        <f>Health[[#This Row],[Weight_kg]]/((Health[[#This Row],[Height_cm]]/100)^2)</f>
        <v>20.483024296966988</v>
      </c>
      <c r="L70" t="str">
        <f>IF(Health[[#This Row],[ BMI]]&lt;18.5,"Under Weight",IF(Health[[#This Row],[ BMI]]&lt;=24.9,"Healthy Weight",IF(Health[[#This Row],[ BMI]]&lt;=29.9,"Over Weight","Obese")))</f>
        <v>Healthy Weight</v>
      </c>
    </row>
    <row r="71" spans="1:12" x14ac:dyDescent="0.3">
      <c r="A71" t="s">
        <v>86</v>
      </c>
      <c r="B71">
        <v>33</v>
      </c>
      <c r="C71" t="s">
        <v>19</v>
      </c>
      <c r="D71">
        <v>104.76</v>
      </c>
      <c r="E71">
        <v>13.89</v>
      </c>
      <c r="F71">
        <v>3</v>
      </c>
      <c r="G71">
        <v>4</v>
      </c>
      <c r="H71">
        <v>0</v>
      </c>
      <c r="I71">
        <v>0.5</v>
      </c>
      <c r="J71" t="s">
        <v>20</v>
      </c>
      <c r="K71" s="1">
        <f>Health[[#This Row],[Weight_kg]]/((Health[[#This Row],[Height_cm]]/100)^2)</f>
        <v>12.656431304061822</v>
      </c>
      <c r="L71" t="str">
        <f>IF(Health[[#This Row],[ BMI]]&lt;18.5,"Under Weight",IF(Health[[#This Row],[ BMI]]&lt;=24.9,"Healthy Weight",IF(Health[[#This Row],[ BMI]]&lt;=29.9,"Over Weight","Obese")))</f>
        <v>Under Weight</v>
      </c>
    </row>
    <row r="72" spans="1:12" x14ac:dyDescent="0.3">
      <c r="A72" t="s">
        <v>87</v>
      </c>
      <c r="B72">
        <v>49</v>
      </c>
      <c r="C72" t="s">
        <v>19</v>
      </c>
      <c r="D72">
        <v>108.22</v>
      </c>
      <c r="E72">
        <v>19.55</v>
      </c>
      <c r="F72">
        <v>1</v>
      </c>
      <c r="G72">
        <v>1</v>
      </c>
      <c r="H72">
        <v>2</v>
      </c>
      <c r="I72">
        <v>1.6</v>
      </c>
      <c r="J72" t="s">
        <v>20</v>
      </c>
      <c r="K72" s="1">
        <f>Health[[#This Row],[Weight_kg]]/((Health[[#This Row],[Height_cm]]/100)^2)</f>
        <v>16.692896572247317</v>
      </c>
      <c r="L72" t="str">
        <f>IF(Health[[#This Row],[ BMI]]&lt;18.5,"Under Weight",IF(Health[[#This Row],[ BMI]]&lt;=24.9,"Healthy Weight",IF(Health[[#This Row],[ BMI]]&lt;=29.9,"Over Weight","Obese")))</f>
        <v>Under Weight</v>
      </c>
    </row>
    <row r="73" spans="1:12" x14ac:dyDescent="0.3">
      <c r="A73" t="s">
        <v>88</v>
      </c>
      <c r="B73">
        <v>32</v>
      </c>
      <c r="C73" t="s">
        <v>11</v>
      </c>
      <c r="D73">
        <v>97.69</v>
      </c>
      <c r="E73">
        <v>18.04</v>
      </c>
      <c r="F73">
        <v>3</v>
      </c>
      <c r="G73">
        <v>2</v>
      </c>
      <c r="H73">
        <v>2</v>
      </c>
      <c r="I73">
        <v>2.2000000000000002</v>
      </c>
      <c r="J73" t="s">
        <v>12</v>
      </c>
      <c r="K73" s="1">
        <f>Health[[#This Row],[Weight_kg]]/((Health[[#This Row],[Height_cm]]/100)^2)</f>
        <v>18.903242860743426</v>
      </c>
      <c r="L73" t="str">
        <f>IF(Health[[#This Row],[ BMI]]&lt;18.5,"Under Weight",IF(Health[[#This Row],[ BMI]]&lt;=24.9,"Healthy Weight",IF(Health[[#This Row],[ BMI]]&lt;=29.9,"Over Weight","Obese")))</f>
        <v>Healthy Weight</v>
      </c>
    </row>
    <row r="74" spans="1:12" x14ac:dyDescent="0.3">
      <c r="A74" t="s">
        <v>89</v>
      </c>
      <c r="B74">
        <v>52</v>
      </c>
      <c r="C74" t="s">
        <v>11</v>
      </c>
      <c r="D74">
        <v>104.99</v>
      </c>
      <c r="E74">
        <v>22.77</v>
      </c>
      <c r="F74">
        <v>3</v>
      </c>
      <c r="G74">
        <v>2</v>
      </c>
      <c r="H74">
        <v>1</v>
      </c>
      <c r="I74">
        <v>1.1000000000000001</v>
      </c>
      <c r="J74" t="s">
        <v>14</v>
      </c>
      <c r="K74" s="1">
        <f>Health[[#This Row],[Weight_kg]]/((Health[[#This Row],[Height_cm]]/100)^2)</f>
        <v>20.656995702972939</v>
      </c>
      <c r="L74" t="str">
        <f>IF(Health[[#This Row],[ BMI]]&lt;18.5,"Under Weight",IF(Health[[#This Row],[ BMI]]&lt;=24.9,"Healthy Weight",IF(Health[[#This Row],[ BMI]]&lt;=29.9,"Over Weight","Obese")))</f>
        <v>Healthy Weight</v>
      </c>
    </row>
    <row r="75" spans="1:12" x14ac:dyDescent="0.3">
      <c r="A75" t="s">
        <v>90</v>
      </c>
      <c r="B75">
        <v>25</v>
      </c>
      <c r="C75" t="s">
        <v>19</v>
      </c>
      <c r="D75">
        <v>88.93</v>
      </c>
      <c r="E75">
        <v>15.5</v>
      </c>
      <c r="F75">
        <v>3</v>
      </c>
      <c r="G75">
        <v>0</v>
      </c>
      <c r="H75">
        <v>3</v>
      </c>
      <c r="I75">
        <v>3.8</v>
      </c>
      <c r="J75" t="s">
        <v>14</v>
      </c>
      <c r="K75" s="1">
        <f>Health[[#This Row],[Weight_kg]]/((Health[[#This Row],[Height_cm]]/100)^2)</f>
        <v>19.59905418252098</v>
      </c>
      <c r="L75" t="str">
        <f>IF(Health[[#This Row],[ BMI]]&lt;18.5,"Under Weight",IF(Health[[#This Row],[ BMI]]&lt;=24.9,"Healthy Weight",IF(Health[[#This Row],[ BMI]]&lt;=29.9,"Over Weight","Obese")))</f>
        <v>Healthy Weight</v>
      </c>
    </row>
    <row r="76" spans="1:12" x14ac:dyDescent="0.3">
      <c r="A76" t="s">
        <v>91</v>
      </c>
      <c r="B76">
        <v>41</v>
      </c>
      <c r="C76" t="s">
        <v>11</v>
      </c>
      <c r="D76">
        <v>105.5</v>
      </c>
      <c r="E76">
        <v>20.18</v>
      </c>
      <c r="F76">
        <v>1</v>
      </c>
      <c r="G76">
        <v>4</v>
      </c>
      <c r="H76">
        <v>3</v>
      </c>
      <c r="I76">
        <v>1.9</v>
      </c>
      <c r="J76" t="s">
        <v>24</v>
      </c>
      <c r="K76" s="1">
        <f>Health[[#This Row],[Weight_kg]]/((Health[[#This Row],[Height_cm]]/100)^2)</f>
        <v>18.130769749107163</v>
      </c>
      <c r="L76" t="str">
        <f>IF(Health[[#This Row],[ BMI]]&lt;18.5,"Under Weight",IF(Health[[#This Row],[ BMI]]&lt;=24.9,"Healthy Weight",IF(Health[[#This Row],[ BMI]]&lt;=29.9,"Over Weight","Obese")))</f>
        <v>Under Weight</v>
      </c>
    </row>
    <row r="77" spans="1:12" x14ac:dyDescent="0.3">
      <c r="A77" t="s">
        <v>92</v>
      </c>
      <c r="B77">
        <v>38</v>
      </c>
      <c r="C77" t="s">
        <v>19</v>
      </c>
      <c r="D77">
        <v>101.47</v>
      </c>
      <c r="E77">
        <v>15.96</v>
      </c>
      <c r="F77">
        <v>1</v>
      </c>
      <c r="G77">
        <v>1</v>
      </c>
      <c r="H77">
        <v>0</v>
      </c>
      <c r="I77">
        <v>0.8</v>
      </c>
      <c r="J77" t="s">
        <v>12</v>
      </c>
      <c r="K77" s="1">
        <f>Health[[#This Row],[Weight_kg]]/((Health[[#This Row],[Height_cm]]/100)^2)</f>
        <v>15.500923261601326</v>
      </c>
      <c r="L77" t="str">
        <f>IF(Health[[#This Row],[ BMI]]&lt;18.5,"Under Weight",IF(Health[[#This Row],[ BMI]]&lt;=24.9,"Healthy Weight",IF(Health[[#This Row],[ BMI]]&lt;=29.9,"Over Weight","Obese")))</f>
        <v>Under Weight</v>
      </c>
    </row>
    <row r="78" spans="1:12" x14ac:dyDescent="0.3">
      <c r="A78" t="s">
        <v>93</v>
      </c>
      <c r="B78">
        <v>46</v>
      </c>
      <c r="C78" t="s">
        <v>19</v>
      </c>
      <c r="D78">
        <v>103.84</v>
      </c>
      <c r="E78">
        <v>17.13</v>
      </c>
      <c r="F78">
        <v>0</v>
      </c>
      <c r="G78">
        <v>4</v>
      </c>
      <c r="H78">
        <v>1</v>
      </c>
      <c r="I78">
        <v>0.7</v>
      </c>
      <c r="J78" t="s">
        <v>20</v>
      </c>
      <c r="K78" s="1">
        <f>Health[[#This Row],[Weight_kg]]/((Health[[#This Row],[Height_cm]]/100)^2)</f>
        <v>15.886491841187462</v>
      </c>
      <c r="L78" t="str">
        <f>IF(Health[[#This Row],[ BMI]]&lt;18.5,"Under Weight",IF(Health[[#This Row],[ BMI]]&lt;=24.9,"Healthy Weight",IF(Health[[#This Row],[ BMI]]&lt;=29.9,"Over Weight","Obese")))</f>
        <v>Under Weight</v>
      </c>
    </row>
    <row r="79" spans="1:12" x14ac:dyDescent="0.3">
      <c r="A79" t="s">
        <v>94</v>
      </c>
      <c r="B79">
        <v>45</v>
      </c>
      <c r="C79" t="s">
        <v>19</v>
      </c>
      <c r="D79">
        <v>103.74</v>
      </c>
      <c r="E79">
        <v>18.21</v>
      </c>
      <c r="F79">
        <v>1</v>
      </c>
      <c r="G79">
        <v>3</v>
      </c>
      <c r="H79">
        <v>0</v>
      </c>
      <c r="I79">
        <v>0.5</v>
      </c>
      <c r="J79" t="s">
        <v>20</v>
      </c>
      <c r="K79" s="1">
        <f>Health[[#This Row],[Weight_kg]]/((Health[[#This Row],[Height_cm]]/100)^2)</f>
        <v>16.920666215969256</v>
      </c>
      <c r="L79" t="str">
        <f>IF(Health[[#This Row],[ BMI]]&lt;18.5,"Under Weight",IF(Health[[#This Row],[ BMI]]&lt;=24.9,"Healthy Weight",IF(Health[[#This Row],[ BMI]]&lt;=29.9,"Over Weight","Obese")))</f>
        <v>Under Weight</v>
      </c>
    </row>
    <row r="80" spans="1:12" x14ac:dyDescent="0.3">
      <c r="A80" t="s">
        <v>95</v>
      </c>
      <c r="B80">
        <v>48</v>
      </c>
      <c r="C80" t="s">
        <v>19</v>
      </c>
      <c r="D80">
        <v>101.32</v>
      </c>
      <c r="E80">
        <v>21.93</v>
      </c>
      <c r="F80">
        <v>4</v>
      </c>
      <c r="G80">
        <v>2</v>
      </c>
      <c r="H80">
        <v>2</v>
      </c>
      <c r="I80">
        <v>2.8</v>
      </c>
      <c r="J80" t="s">
        <v>14</v>
      </c>
      <c r="K80" s="1">
        <f>Health[[#This Row],[Weight_kg]]/((Health[[#This Row],[Height_cm]]/100)^2)</f>
        <v>21.36231277340449</v>
      </c>
      <c r="L80" t="str">
        <f>IF(Health[[#This Row],[ BMI]]&lt;18.5,"Under Weight",IF(Health[[#This Row],[ BMI]]&lt;=24.9,"Healthy Weight",IF(Health[[#This Row],[ BMI]]&lt;=29.9,"Over Weight","Obese")))</f>
        <v>Healthy Weight</v>
      </c>
    </row>
    <row r="81" spans="1:12" x14ac:dyDescent="0.3">
      <c r="A81" t="s">
        <v>96</v>
      </c>
      <c r="B81">
        <v>54</v>
      </c>
      <c r="C81" t="s">
        <v>11</v>
      </c>
      <c r="D81">
        <v>109.83</v>
      </c>
      <c r="E81">
        <v>21.35</v>
      </c>
      <c r="F81">
        <v>3</v>
      </c>
      <c r="G81">
        <v>2</v>
      </c>
      <c r="H81">
        <v>1</v>
      </c>
      <c r="I81">
        <v>0.7</v>
      </c>
      <c r="J81" t="s">
        <v>24</v>
      </c>
      <c r="K81" s="1">
        <f>Health[[#This Row],[Weight_kg]]/((Health[[#This Row],[Height_cm]]/100)^2)</f>
        <v>17.699292730459444</v>
      </c>
      <c r="L81" t="str">
        <f>IF(Health[[#This Row],[ BMI]]&lt;18.5,"Under Weight",IF(Health[[#This Row],[ BMI]]&lt;=24.9,"Healthy Weight",IF(Health[[#This Row],[ BMI]]&lt;=29.9,"Over Weight","Obese")))</f>
        <v>Under Weight</v>
      </c>
    </row>
    <row r="82" spans="1:12" x14ac:dyDescent="0.3">
      <c r="A82" t="s">
        <v>97</v>
      </c>
      <c r="B82">
        <v>49</v>
      </c>
      <c r="C82" t="s">
        <v>19</v>
      </c>
      <c r="D82">
        <v>112.98</v>
      </c>
      <c r="E82">
        <v>18.22</v>
      </c>
      <c r="F82">
        <v>3</v>
      </c>
      <c r="G82">
        <v>1</v>
      </c>
      <c r="H82">
        <v>1</v>
      </c>
      <c r="I82">
        <v>1.7</v>
      </c>
      <c r="J82" t="s">
        <v>12</v>
      </c>
      <c r="K82" s="1">
        <f>Health[[#This Row],[Weight_kg]]/((Health[[#This Row],[Height_cm]]/100)^2)</f>
        <v>14.273984861929826</v>
      </c>
      <c r="L82" t="str">
        <f>IF(Health[[#This Row],[ BMI]]&lt;18.5,"Under Weight",IF(Health[[#This Row],[ BMI]]&lt;=24.9,"Healthy Weight",IF(Health[[#This Row],[ BMI]]&lt;=29.9,"Over Weight","Obese")))</f>
        <v>Under Weight</v>
      </c>
    </row>
    <row r="83" spans="1:12" x14ac:dyDescent="0.3">
      <c r="A83" t="s">
        <v>98</v>
      </c>
      <c r="B83">
        <v>45</v>
      </c>
      <c r="C83" t="s">
        <v>11</v>
      </c>
      <c r="D83">
        <v>104.87</v>
      </c>
      <c r="E83">
        <v>19.66</v>
      </c>
      <c r="F83">
        <v>1</v>
      </c>
      <c r="G83">
        <v>4</v>
      </c>
      <c r="H83">
        <v>2</v>
      </c>
      <c r="I83">
        <v>1.1000000000000001</v>
      </c>
      <c r="J83" t="s">
        <v>27</v>
      </c>
      <c r="K83" s="1">
        <f>Health[[#This Row],[Weight_kg]]/((Health[[#This Row],[Height_cm]]/100)^2)</f>
        <v>17.876437608609475</v>
      </c>
      <c r="L83" t="str">
        <f>IF(Health[[#This Row],[ BMI]]&lt;18.5,"Under Weight",IF(Health[[#This Row],[ BMI]]&lt;=24.9,"Healthy Weight",IF(Health[[#This Row],[ BMI]]&lt;=29.9,"Over Weight","Obese")))</f>
        <v>Under Weight</v>
      </c>
    </row>
    <row r="84" spans="1:12" x14ac:dyDescent="0.3">
      <c r="A84" t="s">
        <v>99</v>
      </c>
      <c r="B84">
        <v>30</v>
      </c>
      <c r="C84" t="s">
        <v>19</v>
      </c>
      <c r="D84">
        <v>100.81</v>
      </c>
      <c r="E84">
        <v>14.39</v>
      </c>
      <c r="F84">
        <v>2</v>
      </c>
      <c r="G84">
        <v>4</v>
      </c>
      <c r="H84">
        <v>2</v>
      </c>
      <c r="I84">
        <v>2.6</v>
      </c>
      <c r="J84" t="s">
        <v>12</v>
      </c>
      <c r="K84" s="1">
        <f>Health[[#This Row],[Weight_kg]]/((Health[[#This Row],[Height_cm]]/100)^2)</f>
        <v>14.159684100694896</v>
      </c>
      <c r="L84" t="str">
        <f>IF(Health[[#This Row],[ BMI]]&lt;18.5,"Under Weight",IF(Health[[#This Row],[ BMI]]&lt;=24.9,"Healthy Weight",IF(Health[[#This Row],[ BMI]]&lt;=29.9,"Over Weight","Obese")))</f>
        <v>Under Weight</v>
      </c>
    </row>
    <row r="85" spans="1:12" x14ac:dyDescent="0.3">
      <c r="A85" t="s">
        <v>100</v>
      </c>
      <c r="B85">
        <v>29</v>
      </c>
      <c r="C85" t="s">
        <v>11</v>
      </c>
      <c r="D85">
        <v>101.16</v>
      </c>
      <c r="E85">
        <v>14.14</v>
      </c>
      <c r="F85">
        <v>2</v>
      </c>
      <c r="G85">
        <v>2</v>
      </c>
      <c r="H85">
        <v>3</v>
      </c>
      <c r="I85">
        <v>1.3</v>
      </c>
      <c r="J85" t="s">
        <v>12</v>
      </c>
      <c r="K85" s="1">
        <f>Health[[#This Row],[Weight_kg]]/((Health[[#This Row],[Height_cm]]/100)^2)</f>
        <v>13.817573013462967</v>
      </c>
      <c r="L85" t="str">
        <f>IF(Health[[#This Row],[ BMI]]&lt;18.5,"Under Weight",IF(Health[[#This Row],[ BMI]]&lt;=24.9,"Healthy Weight",IF(Health[[#This Row],[ BMI]]&lt;=29.9,"Over Weight","Obese")))</f>
        <v>Under Weight</v>
      </c>
    </row>
    <row r="86" spans="1:12" x14ac:dyDescent="0.3">
      <c r="A86" t="s">
        <v>101</v>
      </c>
      <c r="B86">
        <v>57</v>
      </c>
      <c r="C86" t="s">
        <v>11</v>
      </c>
      <c r="D86">
        <v>115.19</v>
      </c>
      <c r="E86">
        <v>20.76</v>
      </c>
      <c r="F86">
        <v>1</v>
      </c>
      <c r="G86">
        <v>4</v>
      </c>
      <c r="H86">
        <v>0</v>
      </c>
      <c r="I86">
        <v>1</v>
      </c>
      <c r="J86" t="s">
        <v>12</v>
      </c>
      <c r="K86" s="1">
        <f>Health[[#This Row],[Weight_kg]]/((Health[[#This Row],[Height_cm]]/100)^2)</f>
        <v>15.645800657682841</v>
      </c>
      <c r="L86" t="str">
        <f>IF(Health[[#This Row],[ BMI]]&lt;18.5,"Under Weight",IF(Health[[#This Row],[ BMI]]&lt;=24.9,"Healthy Weight",IF(Health[[#This Row],[ BMI]]&lt;=29.9,"Over Weight","Obese")))</f>
        <v>Under Weight</v>
      </c>
    </row>
    <row r="87" spans="1:12" x14ac:dyDescent="0.3">
      <c r="A87" t="s">
        <v>102</v>
      </c>
      <c r="B87">
        <v>56</v>
      </c>
      <c r="C87" t="s">
        <v>19</v>
      </c>
      <c r="D87">
        <v>110.72</v>
      </c>
      <c r="E87">
        <v>20.149999999999999</v>
      </c>
      <c r="F87">
        <v>0</v>
      </c>
      <c r="G87">
        <v>1</v>
      </c>
      <c r="H87">
        <v>1</v>
      </c>
      <c r="I87">
        <v>2</v>
      </c>
      <c r="J87" t="s">
        <v>27</v>
      </c>
      <c r="K87" s="1">
        <f>Health[[#This Row],[Weight_kg]]/((Health[[#This Row],[Height_cm]]/100)^2)</f>
        <v>16.43701290971967</v>
      </c>
      <c r="L87" t="str">
        <f>IF(Health[[#This Row],[ BMI]]&lt;18.5,"Under Weight",IF(Health[[#This Row],[ BMI]]&lt;=24.9,"Healthy Weight",IF(Health[[#This Row],[ BMI]]&lt;=29.9,"Over Weight","Obese")))</f>
        <v>Under Weight</v>
      </c>
    </row>
    <row r="88" spans="1:12" x14ac:dyDescent="0.3">
      <c r="A88" t="s">
        <v>103</v>
      </c>
      <c r="B88">
        <v>56</v>
      </c>
      <c r="C88" t="s">
        <v>11</v>
      </c>
      <c r="D88">
        <v>106.73</v>
      </c>
      <c r="E88">
        <v>24.09</v>
      </c>
      <c r="F88">
        <v>0</v>
      </c>
      <c r="G88">
        <v>1</v>
      </c>
      <c r="H88">
        <v>3</v>
      </c>
      <c r="I88">
        <v>1.7</v>
      </c>
      <c r="J88" t="s">
        <v>27</v>
      </c>
      <c r="K88" s="1">
        <f>Health[[#This Row],[Weight_kg]]/((Health[[#This Row],[Height_cm]]/100)^2)</f>
        <v>21.147731176326783</v>
      </c>
      <c r="L88" t="str">
        <f>IF(Health[[#This Row],[ BMI]]&lt;18.5,"Under Weight",IF(Health[[#This Row],[ BMI]]&lt;=24.9,"Healthy Weight",IF(Health[[#This Row],[ BMI]]&lt;=29.9,"Over Weight","Obese")))</f>
        <v>Healthy Weight</v>
      </c>
    </row>
    <row r="89" spans="1:12" x14ac:dyDescent="0.3">
      <c r="A89" t="s">
        <v>104</v>
      </c>
      <c r="B89">
        <v>25</v>
      </c>
      <c r="C89" t="s">
        <v>11</v>
      </c>
      <c r="D89">
        <v>99.72</v>
      </c>
      <c r="E89">
        <v>14.9</v>
      </c>
      <c r="F89">
        <v>4</v>
      </c>
      <c r="G89">
        <v>2</v>
      </c>
      <c r="H89">
        <v>3</v>
      </c>
      <c r="I89">
        <v>2.2000000000000002</v>
      </c>
      <c r="J89" t="s">
        <v>14</v>
      </c>
      <c r="K89" s="1">
        <f>Health[[#This Row],[Weight_kg]]/((Health[[#This Row],[Height_cm]]/100)^2)</f>
        <v>14.983791760933824</v>
      </c>
      <c r="L89" t="str">
        <f>IF(Health[[#This Row],[ BMI]]&lt;18.5,"Under Weight",IF(Health[[#This Row],[ BMI]]&lt;=24.9,"Healthy Weight",IF(Health[[#This Row],[ BMI]]&lt;=29.9,"Over Weight","Obese")))</f>
        <v>Under Weight</v>
      </c>
    </row>
    <row r="90" spans="1:12" x14ac:dyDescent="0.3">
      <c r="A90" t="s">
        <v>105</v>
      </c>
      <c r="B90">
        <v>30</v>
      </c>
      <c r="C90" t="s">
        <v>11</v>
      </c>
      <c r="D90">
        <v>96.45</v>
      </c>
      <c r="E90">
        <v>14.77</v>
      </c>
      <c r="F90">
        <v>4</v>
      </c>
      <c r="G90">
        <v>2</v>
      </c>
      <c r="H90">
        <v>0</v>
      </c>
      <c r="I90">
        <v>0.6</v>
      </c>
      <c r="J90" t="s">
        <v>24</v>
      </c>
      <c r="K90" s="1">
        <f>Health[[#This Row],[Weight_kg]]/((Health[[#This Row],[Height_cm]]/100)^2)</f>
        <v>15.877277353299789</v>
      </c>
      <c r="L90" t="str">
        <f>IF(Health[[#This Row],[ BMI]]&lt;18.5,"Under Weight",IF(Health[[#This Row],[ BMI]]&lt;=24.9,"Healthy Weight",IF(Health[[#This Row],[ BMI]]&lt;=29.9,"Over Weight","Obese")))</f>
        <v>Under Weight</v>
      </c>
    </row>
    <row r="91" spans="1:12" x14ac:dyDescent="0.3">
      <c r="A91" t="s">
        <v>106</v>
      </c>
      <c r="B91">
        <v>53</v>
      </c>
      <c r="C91" t="s">
        <v>19</v>
      </c>
      <c r="D91">
        <v>106.44</v>
      </c>
      <c r="E91">
        <v>20.73</v>
      </c>
      <c r="F91">
        <v>4</v>
      </c>
      <c r="G91">
        <v>3</v>
      </c>
      <c r="H91">
        <v>2</v>
      </c>
      <c r="I91">
        <v>2</v>
      </c>
      <c r="J91" t="s">
        <v>12</v>
      </c>
      <c r="K91" s="1">
        <f>Health[[#This Row],[Weight_kg]]/((Health[[#This Row],[Height_cm]]/100)^2)</f>
        <v>18.29740792193558</v>
      </c>
      <c r="L91" t="str">
        <f>IF(Health[[#This Row],[ BMI]]&lt;18.5,"Under Weight",IF(Health[[#This Row],[ BMI]]&lt;=24.9,"Healthy Weight",IF(Health[[#This Row],[ BMI]]&lt;=29.9,"Over Weight","Obese")))</f>
        <v>Under Weight</v>
      </c>
    </row>
    <row r="92" spans="1:12" x14ac:dyDescent="0.3">
      <c r="A92" t="s">
        <v>107</v>
      </c>
      <c r="B92">
        <v>29</v>
      </c>
      <c r="C92" t="s">
        <v>11</v>
      </c>
      <c r="D92">
        <v>97.77</v>
      </c>
      <c r="E92">
        <v>15.72</v>
      </c>
      <c r="F92">
        <v>2</v>
      </c>
      <c r="G92">
        <v>0</v>
      </c>
      <c r="H92">
        <v>0</v>
      </c>
      <c r="I92">
        <v>0.9</v>
      </c>
      <c r="J92" t="s">
        <v>12</v>
      </c>
      <c r="K92" s="1">
        <f>Health[[#This Row],[Weight_kg]]/((Health[[#This Row],[Height_cm]]/100)^2)</f>
        <v>16.445281479979926</v>
      </c>
      <c r="L92" t="str">
        <f>IF(Health[[#This Row],[ BMI]]&lt;18.5,"Under Weight",IF(Health[[#This Row],[ BMI]]&lt;=24.9,"Healthy Weight",IF(Health[[#This Row],[ BMI]]&lt;=29.9,"Over Weight","Obese")))</f>
        <v>Under Weight</v>
      </c>
    </row>
    <row r="93" spans="1:12" x14ac:dyDescent="0.3">
      <c r="A93" t="s">
        <v>108</v>
      </c>
      <c r="B93">
        <v>58</v>
      </c>
      <c r="C93" t="s">
        <v>19</v>
      </c>
      <c r="D93">
        <v>113.49</v>
      </c>
      <c r="E93">
        <v>25.26</v>
      </c>
      <c r="F93">
        <v>0</v>
      </c>
      <c r="G93">
        <v>4</v>
      </c>
      <c r="H93">
        <v>3</v>
      </c>
      <c r="I93">
        <v>3</v>
      </c>
      <c r="J93" t="s">
        <v>27</v>
      </c>
      <c r="K93" s="1">
        <f>Health[[#This Row],[Weight_kg]]/((Health[[#This Row],[Height_cm]]/100)^2)</f>
        <v>19.611831543124822</v>
      </c>
      <c r="L93" t="str">
        <f>IF(Health[[#This Row],[ BMI]]&lt;18.5,"Under Weight",IF(Health[[#This Row],[ BMI]]&lt;=24.9,"Healthy Weight",IF(Health[[#This Row],[ BMI]]&lt;=29.9,"Over Weight","Obese")))</f>
        <v>Healthy Weight</v>
      </c>
    </row>
    <row r="94" spans="1:12" x14ac:dyDescent="0.3">
      <c r="A94" t="s">
        <v>109</v>
      </c>
      <c r="B94">
        <v>26</v>
      </c>
      <c r="C94" t="s">
        <v>19</v>
      </c>
      <c r="D94">
        <v>92.08</v>
      </c>
      <c r="E94">
        <v>15.29</v>
      </c>
      <c r="F94">
        <v>4</v>
      </c>
      <c r="G94">
        <v>1</v>
      </c>
      <c r="H94">
        <v>2</v>
      </c>
      <c r="I94">
        <v>2.6</v>
      </c>
      <c r="J94" t="s">
        <v>20</v>
      </c>
      <c r="K94" s="1">
        <f>Health[[#This Row],[Weight_kg]]/((Health[[#This Row],[Height_cm]]/100)^2)</f>
        <v>18.033368785198682</v>
      </c>
      <c r="L94" t="str">
        <f>IF(Health[[#This Row],[ BMI]]&lt;18.5,"Under Weight",IF(Health[[#This Row],[ BMI]]&lt;=24.9,"Healthy Weight",IF(Health[[#This Row],[ BMI]]&lt;=29.9,"Over Weight","Obese")))</f>
        <v>Under Weight</v>
      </c>
    </row>
    <row r="95" spans="1:12" x14ac:dyDescent="0.3">
      <c r="A95" t="s">
        <v>110</v>
      </c>
      <c r="B95">
        <v>25</v>
      </c>
      <c r="C95" t="s">
        <v>11</v>
      </c>
      <c r="D95">
        <v>96.42</v>
      </c>
      <c r="E95">
        <v>15.34</v>
      </c>
      <c r="F95">
        <v>4</v>
      </c>
      <c r="G95">
        <v>3</v>
      </c>
      <c r="H95">
        <v>2</v>
      </c>
      <c r="I95">
        <v>0.9</v>
      </c>
      <c r="J95" t="s">
        <v>20</v>
      </c>
      <c r="K95" s="1">
        <f>Health[[#This Row],[Weight_kg]]/((Health[[#This Row],[Height_cm]]/100)^2)</f>
        <v>16.500272071630885</v>
      </c>
      <c r="L95" t="str">
        <f>IF(Health[[#This Row],[ BMI]]&lt;18.5,"Under Weight",IF(Health[[#This Row],[ BMI]]&lt;=24.9,"Healthy Weight",IF(Health[[#This Row],[ BMI]]&lt;=29.9,"Over Weight","Obese")))</f>
        <v>Under Weight</v>
      </c>
    </row>
    <row r="96" spans="1:12" x14ac:dyDescent="0.3">
      <c r="A96" t="s">
        <v>111</v>
      </c>
      <c r="B96">
        <v>59</v>
      </c>
      <c r="C96" t="s">
        <v>11</v>
      </c>
      <c r="D96">
        <v>108.1</v>
      </c>
      <c r="E96">
        <v>19.25</v>
      </c>
      <c r="F96">
        <v>1</v>
      </c>
      <c r="G96">
        <v>0</v>
      </c>
      <c r="H96">
        <v>1</v>
      </c>
      <c r="I96">
        <v>1</v>
      </c>
      <c r="J96" t="s">
        <v>12</v>
      </c>
      <c r="K96" s="1">
        <f>Health[[#This Row],[Weight_kg]]/((Health[[#This Row],[Height_cm]]/100)^2)</f>
        <v>16.47325214515973</v>
      </c>
      <c r="L96" t="str">
        <f>IF(Health[[#This Row],[ BMI]]&lt;18.5,"Under Weight",IF(Health[[#This Row],[ BMI]]&lt;=24.9,"Healthy Weight",IF(Health[[#This Row],[ BMI]]&lt;=29.9,"Over Weight","Obese")))</f>
        <v>Under Weight</v>
      </c>
    </row>
    <row r="97" spans="1:12" x14ac:dyDescent="0.3">
      <c r="A97" t="s">
        <v>112</v>
      </c>
      <c r="B97">
        <v>50</v>
      </c>
      <c r="C97" t="s">
        <v>11</v>
      </c>
      <c r="D97">
        <v>109.15</v>
      </c>
      <c r="E97">
        <v>22.09</v>
      </c>
      <c r="F97">
        <v>1</v>
      </c>
      <c r="G97">
        <v>4</v>
      </c>
      <c r="H97">
        <v>0</v>
      </c>
      <c r="I97">
        <v>0.6</v>
      </c>
      <c r="J97" t="s">
        <v>14</v>
      </c>
      <c r="K97" s="1">
        <f>Health[[#This Row],[Weight_kg]]/((Health[[#This Row],[Height_cm]]/100)^2)</f>
        <v>18.541643890060385</v>
      </c>
      <c r="L97" t="str">
        <f>IF(Health[[#This Row],[ BMI]]&lt;18.5,"Under Weight",IF(Health[[#This Row],[ BMI]]&lt;=24.9,"Healthy Weight",IF(Health[[#This Row],[ BMI]]&lt;=29.9,"Over Weight","Obese")))</f>
        <v>Healthy Weight</v>
      </c>
    </row>
    <row r="98" spans="1:12" x14ac:dyDescent="0.3">
      <c r="A98" t="s">
        <v>113</v>
      </c>
      <c r="B98">
        <v>48</v>
      </c>
      <c r="C98" t="s">
        <v>19</v>
      </c>
      <c r="D98">
        <v>107.71</v>
      </c>
      <c r="E98">
        <v>19.079999999999998</v>
      </c>
      <c r="F98">
        <v>0</v>
      </c>
      <c r="G98">
        <v>2</v>
      </c>
      <c r="H98">
        <v>2</v>
      </c>
      <c r="I98">
        <v>1.8</v>
      </c>
      <c r="J98" t="s">
        <v>20</v>
      </c>
      <c r="K98" s="1">
        <f>Health[[#This Row],[Weight_kg]]/((Health[[#This Row],[Height_cm]]/100)^2)</f>
        <v>16.446228448404973</v>
      </c>
      <c r="L98" t="str">
        <f>IF(Health[[#This Row],[ BMI]]&lt;18.5,"Under Weight",IF(Health[[#This Row],[ BMI]]&lt;=24.9,"Healthy Weight",IF(Health[[#This Row],[ BMI]]&lt;=29.9,"Over Weight","Obese")))</f>
        <v>Under Weight</v>
      </c>
    </row>
    <row r="99" spans="1:12" x14ac:dyDescent="0.3">
      <c r="A99" t="s">
        <v>114</v>
      </c>
      <c r="B99">
        <v>57</v>
      </c>
      <c r="C99" t="s">
        <v>19</v>
      </c>
      <c r="D99">
        <v>112.41</v>
      </c>
      <c r="E99">
        <v>21.55</v>
      </c>
      <c r="F99">
        <v>2</v>
      </c>
      <c r="G99">
        <v>4</v>
      </c>
      <c r="H99">
        <v>0</v>
      </c>
      <c r="I99">
        <v>0.9</v>
      </c>
      <c r="J99" t="s">
        <v>12</v>
      </c>
      <c r="K99" s="1">
        <f>Health[[#This Row],[Weight_kg]]/((Health[[#This Row],[Height_cm]]/100)^2)</f>
        <v>17.054436677671966</v>
      </c>
      <c r="L99" t="str">
        <f>IF(Health[[#This Row],[ BMI]]&lt;18.5,"Under Weight",IF(Health[[#This Row],[ BMI]]&lt;=24.9,"Healthy Weight",IF(Health[[#This Row],[ BMI]]&lt;=29.9,"Over Weight","Obese")))</f>
        <v>Under Weight</v>
      </c>
    </row>
    <row r="100" spans="1:12" x14ac:dyDescent="0.3">
      <c r="A100" t="s">
        <v>115</v>
      </c>
      <c r="B100">
        <v>45</v>
      </c>
      <c r="C100" t="s">
        <v>19</v>
      </c>
      <c r="D100">
        <v>110.12</v>
      </c>
      <c r="E100">
        <v>18.510000000000002</v>
      </c>
      <c r="F100">
        <v>0</v>
      </c>
      <c r="G100">
        <v>2</v>
      </c>
      <c r="H100">
        <v>0</v>
      </c>
      <c r="I100">
        <v>0.9</v>
      </c>
      <c r="J100" t="s">
        <v>24</v>
      </c>
      <c r="K100" s="1">
        <f>Health[[#This Row],[Weight_kg]]/((Health[[#This Row],[Height_cm]]/100)^2)</f>
        <v>15.264198789050129</v>
      </c>
      <c r="L100" t="str">
        <f>IF(Health[[#This Row],[ BMI]]&lt;18.5,"Under Weight",IF(Health[[#This Row],[ BMI]]&lt;=24.9,"Healthy Weight",IF(Health[[#This Row],[ BMI]]&lt;=29.9,"Over Weight","Obese")))</f>
        <v>Under Weight</v>
      </c>
    </row>
    <row r="101" spans="1:12" x14ac:dyDescent="0.3">
      <c r="A101" t="s">
        <v>116</v>
      </c>
      <c r="B101">
        <v>49</v>
      </c>
      <c r="C101" t="s">
        <v>19</v>
      </c>
      <c r="D101">
        <v>106.6</v>
      </c>
      <c r="E101">
        <v>21.21</v>
      </c>
      <c r="F101">
        <v>0</v>
      </c>
      <c r="G101">
        <v>0</v>
      </c>
      <c r="H101">
        <v>2</v>
      </c>
      <c r="I101">
        <v>2.5</v>
      </c>
      <c r="J101" t="s">
        <v>24</v>
      </c>
      <c r="K101" s="1">
        <f>Health[[#This Row],[Weight_kg]]/((Health[[#This Row],[Height_cm]]/100)^2)</f>
        <v>18.664925428298883</v>
      </c>
      <c r="L101" t="str">
        <f>IF(Health[[#This Row],[ BMI]]&lt;18.5,"Under Weight",IF(Health[[#This Row],[ BMI]]&lt;=24.9,"Healthy Weight",IF(Health[[#This Row],[ BMI]]&lt;=29.9,"Over Weight","Obese")))</f>
        <v>Healthy Weight</v>
      </c>
    </row>
    <row r="103" spans="1:12" x14ac:dyDescent="0.3">
      <c r="H103" s="1"/>
    </row>
    <row r="104" spans="1:12" x14ac:dyDescent="0.3">
      <c r="G104" s="1"/>
    </row>
    <row r="105" spans="1:12" x14ac:dyDescent="0.3">
      <c r="H105" s="1"/>
      <c r="I105" s="1"/>
    </row>
    <row r="107" spans="1:12" x14ac:dyDescent="0.3">
      <c r="G107" s="1"/>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59D45-A167-4E55-AE8E-CD4576893C30}">
  <dimension ref="C6:F11"/>
  <sheetViews>
    <sheetView showGridLines="0" topLeftCell="A4" workbookViewId="0">
      <selection activeCell="D24" sqref="D24"/>
    </sheetView>
  </sheetViews>
  <sheetFormatPr defaultRowHeight="14.4" x14ac:dyDescent="0.3"/>
  <cols>
    <col min="3" max="3" width="12.88671875" bestFit="1" customWidth="1"/>
    <col min="4" max="4" width="13.6640625" bestFit="1" customWidth="1"/>
    <col min="5" max="5" width="12.109375" bestFit="1" customWidth="1"/>
    <col min="6" max="7" width="10.5546875" bestFit="1" customWidth="1"/>
    <col min="8" max="8" width="21.33203125" bestFit="1" customWidth="1"/>
    <col min="9" max="36" width="15.5546875" bestFit="1" customWidth="1"/>
    <col min="37" max="38" width="10.5546875" bestFit="1" customWidth="1"/>
  </cols>
  <sheetData>
    <row r="6" spans="3:6" x14ac:dyDescent="0.3">
      <c r="C6" s="2" t="s">
        <v>126</v>
      </c>
      <c r="D6" s="2" t="s">
        <v>126</v>
      </c>
    </row>
    <row r="7" spans="3:6" x14ac:dyDescent="0.3">
      <c r="C7" s="2" t="s">
        <v>122</v>
      </c>
      <c r="D7" t="s">
        <v>120</v>
      </c>
      <c r="E7" t="s">
        <v>121</v>
      </c>
      <c r="F7" t="s">
        <v>119</v>
      </c>
    </row>
    <row r="8" spans="3:6" x14ac:dyDescent="0.3">
      <c r="C8" s="5" t="s">
        <v>123</v>
      </c>
      <c r="D8" s="6">
        <v>6</v>
      </c>
      <c r="E8" s="6">
        <v>33</v>
      </c>
      <c r="F8" s="6">
        <v>39</v>
      </c>
    </row>
    <row r="9" spans="3:6" x14ac:dyDescent="0.3">
      <c r="C9" s="5" t="s">
        <v>124</v>
      </c>
      <c r="D9" s="6">
        <v>8</v>
      </c>
      <c r="E9" s="6">
        <v>22</v>
      </c>
      <c r="F9" s="6">
        <v>30</v>
      </c>
    </row>
    <row r="10" spans="3:6" x14ac:dyDescent="0.3">
      <c r="C10" s="5" t="s">
        <v>125</v>
      </c>
      <c r="D10" s="6">
        <v>10</v>
      </c>
      <c r="E10" s="6">
        <v>21</v>
      </c>
      <c r="F10" s="6">
        <v>31</v>
      </c>
    </row>
    <row r="11" spans="3:6" x14ac:dyDescent="0.3">
      <c r="C11" s="3" t="s">
        <v>119</v>
      </c>
      <c r="D11" s="4">
        <v>24</v>
      </c>
      <c r="E11" s="4">
        <v>76</v>
      </c>
      <c r="F11" s="4">
        <v>100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2A9BE-DBD2-4CE8-BE97-82E9CA83A5A0}">
  <dimension ref="D13:J20"/>
  <sheetViews>
    <sheetView showGridLines="0" topLeftCell="B1" workbookViewId="0">
      <selection activeCell="J13" sqref="J13"/>
    </sheetView>
  </sheetViews>
  <sheetFormatPr defaultRowHeight="14.4" x14ac:dyDescent="0.3"/>
  <cols>
    <col min="4" max="4" width="13" bestFit="1" customWidth="1"/>
    <col min="5" max="5" width="14.5546875" bestFit="1" customWidth="1"/>
    <col min="6" max="9" width="4.5546875" bestFit="1" customWidth="1"/>
    <col min="10" max="10" width="10.5546875" bestFit="1" customWidth="1"/>
    <col min="11" max="11" width="4.5546875" bestFit="1" customWidth="1"/>
    <col min="12" max="12" width="20.33203125" bestFit="1" customWidth="1"/>
    <col min="13" max="13" width="4.5546875" bestFit="1" customWidth="1"/>
    <col min="14" max="14" width="20.33203125" bestFit="1" customWidth="1"/>
    <col min="15" max="15" width="5.77734375" bestFit="1" customWidth="1"/>
    <col min="16" max="16" width="24.88671875" bestFit="1" customWidth="1"/>
  </cols>
  <sheetData>
    <row r="13" spans="4:10" x14ac:dyDescent="0.3">
      <c r="D13" s="2" t="s">
        <v>126</v>
      </c>
      <c r="E13" s="2" t="s">
        <v>128</v>
      </c>
    </row>
    <row r="14" spans="4:10" x14ac:dyDescent="0.3">
      <c r="D14" s="2" t="s">
        <v>127</v>
      </c>
      <c r="E14">
        <v>0</v>
      </c>
      <c r="F14">
        <v>1</v>
      </c>
      <c r="G14">
        <v>2</v>
      </c>
      <c r="H14">
        <v>3</v>
      </c>
      <c r="I14">
        <v>4</v>
      </c>
      <c r="J14" t="s">
        <v>119</v>
      </c>
    </row>
    <row r="15" spans="4:10" x14ac:dyDescent="0.3">
      <c r="D15" s="7">
        <v>0</v>
      </c>
      <c r="E15" s="8">
        <v>19.016420427584645</v>
      </c>
      <c r="F15" s="8">
        <v>17.280117596560103</v>
      </c>
      <c r="G15" s="8">
        <v>16.27305047255906</v>
      </c>
      <c r="H15" s="8">
        <v>17.104134635526798</v>
      </c>
      <c r="I15" s="8">
        <v>18.137073212360072</v>
      </c>
      <c r="J15" s="8">
        <v>17.566529534524921</v>
      </c>
    </row>
    <row r="16" spans="4:10" x14ac:dyDescent="0.3">
      <c r="D16" s="7">
        <v>1</v>
      </c>
      <c r="E16" s="8">
        <v>16.35248862763348</v>
      </c>
      <c r="F16" s="8">
        <v>16.201722814253078</v>
      </c>
      <c r="G16" s="8">
        <v>17.145357431721354</v>
      </c>
      <c r="H16" s="8">
        <v>15.486892118792989</v>
      </c>
      <c r="I16" s="8">
        <v>17.548662976364966</v>
      </c>
      <c r="J16" s="8">
        <v>16.468003433538151</v>
      </c>
    </row>
    <row r="17" spans="4:10" x14ac:dyDescent="0.3">
      <c r="D17" s="7">
        <v>2</v>
      </c>
      <c r="E17" s="8">
        <v>18.304030863042058</v>
      </c>
      <c r="F17" s="8">
        <v>13.414804870225169</v>
      </c>
      <c r="G17" s="8">
        <v>17.219114471226323</v>
      </c>
      <c r="H17" s="8"/>
      <c r="I17" s="8">
        <v>17.104693630968079</v>
      </c>
      <c r="J17" s="8">
        <v>16.87382757410969</v>
      </c>
    </row>
    <row r="18" spans="4:10" x14ac:dyDescent="0.3">
      <c r="D18" s="7">
        <v>3</v>
      </c>
      <c r="E18" s="8">
        <v>18.791232347431109</v>
      </c>
      <c r="F18" s="8">
        <v>15.547827345547695</v>
      </c>
      <c r="G18" s="8">
        <v>18.37904051788599</v>
      </c>
      <c r="H18" s="8">
        <v>19.105850849662808</v>
      </c>
      <c r="I18" s="8">
        <v>15.747317770125974</v>
      </c>
      <c r="J18" s="8">
        <v>17.50835442521058</v>
      </c>
    </row>
    <row r="19" spans="4:10" x14ac:dyDescent="0.3">
      <c r="D19" s="7">
        <v>4</v>
      </c>
      <c r="E19" s="8">
        <v>17.326942725016981</v>
      </c>
      <c r="F19" s="8">
        <v>16.827714126941665</v>
      </c>
      <c r="G19" s="8">
        <v>16.79563742079436</v>
      </c>
      <c r="H19" s="8">
        <v>16.427913820241738</v>
      </c>
      <c r="I19" s="8">
        <v>20.023541521230683</v>
      </c>
      <c r="J19" s="8">
        <v>17.004575438549672</v>
      </c>
    </row>
    <row r="20" spans="4:10" x14ac:dyDescent="0.3">
      <c r="D20" s="9" t="s">
        <v>119</v>
      </c>
      <c r="E20" s="10">
        <v>17.801185141707748</v>
      </c>
      <c r="F20" s="10">
        <v>16.198132313610472</v>
      </c>
      <c r="G20" s="10">
        <v>17.352645060732396</v>
      </c>
      <c r="H20" s="10">
        <v>16.453644797937383</v>
      </c>
      <c r="I20" s="10">
        <v>17.160526114957836</v>
      </c>
      <c r="J20" s="10">
        <v>17.058049606125383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8D4E6-53D9-4D7E-B9D9-E5A84B58897E}">
  <dimension ref="D6:I11"/>
  <sheetViews>
    <sheetView showGridLines="0" topLeftCell="C1" workbookViewId="0">
      <selection activeCell="F6" sqref="F6"/>
    </sheetView>
  </sheetViews>
  <sheetFormatPr defaultRowHeight="14.4" x14ac:dyDescent="0.3"/>
  <cols>
    <col min="4" max="4" width="14.109375" bestFit="1" customWidth="1"/>
    <col min="5" max="5" width="12.88671875" bestFit="1" customWidth="1"/>
    <col min="6" max="8" width="3.6640625" bestFit="1" customWidth="1"/>
    <col min="9" max="9" width="10.5546875" bestFit="1" customWidth="1"/>
    <col min="10" max="10" width="3.5546875" bestFit="1" customWidth="1"/>
    <col min="11" max="13" width="3.6640625" bestFit="1" customWidth="1"/>
    <col min="14" max="15" width="10.5546875" bestFit="1" customWidth="1"/>
    <col min="16" max="19" width="4" bestFit="1" customWidth="1"/>
    <col min="20" max="20" width="2" bestFit="1" customWidth="1"/>
    <col min="21" max="23" width="4" bestFit="1" customWidth="1"/>
    <col min="24" max="24" width="6.44140625" bestFit="1" customWidth="1"/>
    <col min="25" max="25" width="10.5546875" bestFit="1" customWidth="1"/>
    <col min="26" max="37" width="4" bestFit="1" customWidth="1"/>
    <col min="38" max="38" width="2" bestFit="1" customWidth="1"/>
    <col min="39" max="41" width="4" bestFit="1" customWidth="1"/>
    <col min="42" max="42" width="6.44140625" bestFit="1" customWidth="1"/>
    <col min="43" max="43" width="10.5546875" bestFit="1" customWidth="1"/>
    <col min="44" max="49" width="4" bestFit="1" customWidth="1"/>
    <col min="50" max="50" width="2" bestFit="1" customWidth="1"/>
    <col min="51" max="53" width="4" bestFit="1" customWidth="1"/>
    <col min="54" max="54" width="6.44140625" bestFit="1" customWidth="1"/>
    <col min="55" max="55" width="10.5546875" bestFit="1" customWidth="1"/>
    <col min="56" max="56" width="2" bestFit="1" customWidth="1"/>
    <col min="57" max="59" width="4" bestFit="1" customWidth="1"/>
    <col min="60" max="60" width="6.44140625" bestFit="1" customWidth="1"/>
    <col min="61" max="61" width="10.5546875" bestFit="1" customWidth="1"/>
  </cols>
  <sheetData>
    <row r="6" spans="4:9" x14ac:dyDescent="0.3">
      <c r="D6" s="2" t="s">
        <v>129</v>
      </c>
      <c r="E6" s="2" t="s">
        <v>130</v>
      </c>
    </row>
    <row r="7" spans="4:9" x14ac:dyDescent="0.3">
      <c r="E7" s="11">
        <v>0</v>
      </c>
      <c r="F7">
        <v>1</v>
      </c>
      <c r="G7">
        <v>2</v>
      </c>
      <c r="H7">
        <v>3</v>
      </c>
      <c r="I7" t="s">
        <v>119</v>
      </c>
    </row>
    <row r="8" spans="4:9" x14ac:dyDescent="0.3">
      <c r="D8" s="2" t="s">
        <v>131</v>
      </c>
    </row>
    <row r="9" spans="4:9" x14ac:dyDescent="0.3">
      <c r="D9" s="3" t="s">
        <v>120</v>
      </c>
      <c r="E9" s="12">
        <v>0.7400000000000001</v>
      </c>
      <c r="F9" s="1">
        <v>1.583333333333333</v>
      </c>
      <c r="G9" s="1">
        <v>1.8285714285714287</v>
      </c>
      <c r="H9" s="1">
        <v>2.4166666666666665</v>
      </c>
      <c r="I9" s="1">
        <v>1.6875</v>
      </c>
    </row>
    <row r="10" spans="4:9" x14ac:dyDescent="0.3">
      <c r="D10" s="3" t="s">
        <v>121</v>
      </c>
      <c r="E10" s="12">
        <v>0.74583333333333324</v>
      </c>
      <c r="F10" s="1">
        <v>1.2562499999999999</v>
      </c>
      <c r="G10" s="1">
        <v>1.6840000000000002</v>
      </c>
      <c r="H10" s="1">
        <v>1.6909090909090907</v>
      </c>
      <c r="I10" s="1">
        <v>1.2986842105263152</v>
      </c>
    </row>
    <row r="11" spans="4:9" x14ac:dyDescent="0.3">
      <c r="D11" s="15" t="s">
        <v>119</v>
      </c>
      <c r="E11" s="19">
        <v>0.74482758620689649</v>
      </c>
      <c r="F11" s="13">
        <v>1.3454545454545452</v>
      </c>
      <c r="G11" s="13">
        <v>1.7156250000000002</v>
      </c>
      <c r="H11" s="13">
        <v>1.947058823529412</v>
      </c>
      <c r="I11" s="14">
        <v>1.3919999999999997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06011-7E02-4C7B-8B36-EBC1866BAFED}">
  <dimension ref="D6:J13"/>
  <sheetViews>
    <sheetView showGridLines="0" workbookViewId="0">
      <selection activeCell="D6" sqref="D6:J13"/>
    </sheetView>
  </sheetViews>
  <sheetFormatPr defaultRowHeight="14.4" x14ac:dyDescent="0.3"/>
  <cols>
    <col min="4" max="4" width="10.5546875" bestFit="1" customWidth="1"/>
    <col min="5" max="5" width="13" bestFit="1" customWidth="1"/>
    <col min="6" max="9" width="4.5546875" bestFit="1" customWidth="1"/>
    <col min="10" max="10" width="10.5546875" bestFit="1" customWidth="1"/>
  </cols>
  <sheetData>
    <row r="6" spans="4:10" x14ac:dyDescent="0.3">
      <c r="D6" s="2" t="s">
        <v>126</v>
      </c>
      <c r="E6" s="2" t="s">
        <v>127</v>
      </c>
    </row>
    <row r="7" spans="4:10" x14ac:dyDescent="0.3">
      <c r="D7" s="2" t="s">
        <v>132</v>
      </c>
      <c r="E7">
        <v>0</v>
      </c>
      <c r="F7">
        <v>1</v>
      </c>
      <c r="G7">
        <v>2</v>
      </c>
      <c r="H7">
        <v>3</v>
      </c>
      <c r="I7">
        <v>4</v>
      </c>
      <c r="J7" t="s">
        <v>119</v>
      </c>
    </row>
    <row r="8" spans="4:10" x14ac:dyDescent="0.3">
      <c r="D8" s="3" t="s">
        <v>14</v>
      </c>
      <c r="E8" s="1">
        <v>18.217181147708828</v>
      </c>
      <c r="F8" s="1">
        <v>16.481300533623404</v>
      </c>
      <c r="G8" s="1">
        <v>18.301485811639385</v>
      </c>
      <c r="H8" s="1">
        <v>18.641605814492845</v>
      </c>
      <c r="I8" s="1">
        <v>15.479091213039576</v>
      </c>
      <c r="J8" s="1">
        <v>17.280514841003029</v>
      </c>
    </row>
    <row r="9" spans="4:10" x14ac:dyDescent="0.3">
      <c r="D9" s="3" t="s">
        <v>20</v>
      </c>
      <c r="E9" s="1">
        <v>16.806525125178439</v>
      </c>
      <c r="F9" s="1">
        <v>16.958698711189435</v>
      </c>
      <c r="G9" s="1">
        <v>14.642565527133875</v>
      </c>
      <c r="H9" s="1">
        <v>16.315856271300913</v>
      </c>
      <c r="I9" s="1">
        <v>16.242070296195429</v>
      </c>
      <c r="J9" s="1">
        <v>16.371172019628016</v>
      </c>
    </row>
    <row r="10" spans="4:10" x14ac:dyDescent="0.3">
      <c r="D10" s="3" t="s">
        <v>24</v>
      </c>
      <c r="E10" s="1">
        <v>17.463842965610855</v>
      </c>
      <c r="F10" s="1">
        <v>15.801917097169721</v>
      </c>
      <c r="G10" s="1">
        <v>15.829240009110588</v>
      </c>
      <c r="H10" s="1">
        <v>18.036794453085363</v>
      </c>
      <c r="I10" s="1">
        <v>17.062630374989162</v>
      </c>
      <c r="J10" s="1">
        <v>16.789441132947942</v>
      </c>
    </row>
    <row r="11" spans="4:10" x14ac:dyDescent="0.3">
      <c r="D11" s="3" t="s">
        <v>12</v>
      </c>
      <c r="E11" s="1">
        <v>16.952622734779116</v>
      </c>
      <c r="F11" s="1">
        <v>15.881529940728182</v>
      </c>
      <c r="G11" s="1">
        <v>16.355358795755325</v>
      </c>
      <c r="H11" s="1">
        <v>17.402901755273064</v>
      </c>
      <c r="I11" s="1">
        <v>18.503605239602567</v>
      </c>
      <c r="J11" s="1">
        <v>17.188810268120474</v>
      </c>
    </row>
    <row r="12" spans="4:10" x14ac:dyDescent="0.3">
      <c r="D12" s="3" t="s">
        <v>27</v>
      </c>
      <c r="E12" s="1">
        <v>18.575177566174517</v>
      </c>
      <c r="F12" s="1">
        <v>18.291532954563401</v>
      </c>
      <c r="G12" s="1">
        <v>17.239348397075648</v>
      </c>
      <c r="H12" s="1">
        <v>14.572440546466519</v>
      </c>
      <c r="I12" s="1">
        <v>18.887081936755663</v>
      </c>
      <c r="J12" s="1">
        <v>17.912368815419139</v>
      </c>
    </row>
    <row r="13" spans="4:10" x14ac:dyDescent="0.3">
      <c r="D13" s="3" t="s">
        <v>119</v>
      </c>
      <c r="E13" s="1">
        <v>17.566529534524921</v>
      </c>
      <c r="F13" s="1">
        <v>16.468003433538147</v>
      </c>
      <c r="G13" s="1">
        <v>16.873827574109693</v>
      </c>
      <c r="H13" s="1">
        <v>17.508354425210577</v>
      </c>
      <c r="I13" s="1">
        <v>17.004575438549672</v>
      </c>
      <c r="J13" s="1">
        <v>17.05804960612538</v>
      </c>
    </row>
  </sheetData>
  <conditionalFormatting pivot="1" sqref="E8:J12">
    <cfRule type="colorScale" priority="4">
      <colorScale>
        <cfvo type="min"/>
        <cfvo type="max"/>
        <color rgb="FFC00000"/>
        <color rgb="FF92D050"/>
      </colorScale>
    </cfRule>
  </conditionalFormatting>
  <conditionalFormatting pivot="1" sqref="E8:J12">
    <cfRule type="colorScale" priority="3">
      <colorScale>
        <cfvo type="min"/>
        <cfvo type="max"/>
        <color rgb="FFC00000"/>
        <color theme="3"/>
      </colorScale>
    </cfRule>
  </conditionalFormatting>
  <conditionalFormatting pivot="1" sqref="E8:J12">
    <cfRule type="colorScale" priority="2">
      <colorScale>
        <cfvo type="min"/>
        <cfvo type="max"/>
        <color rgb="FFC00000"/>
        <color theme="5"/>
      </colorScale>
    </cfRule>
  </conditionalFormatting>
  <conditionalFormatting pivot="1" sqref="E8:J12">
    <cfRule type="colorScale" priority="1">
      <colorScale>
        <cfvo type="min"/>
        <cfvo type="max"/>
        <color theme="7" tint="0.79998168889431442"/>
        <color theme="7" tint="-0.499984740745262"/>
      </colorScale>
    </cfRule>
  </conditionalFormatting>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F8995-CF4A-4816-AD4C-E48A163F6204}">
  <dimension ref="C2:V35"/>
  <sheetViews>
    <sheetView showGridLines="0" topLeftCell="B1" workbookViewId="0">
      <selection activeCell="X25" sqref="X25"/>
    </sheetView>
  </sheetViews>
  <sheetFormatPr defaultRowHeight="14.4" x14ac:dyDescent="0.3"/>
  <sheetData>
    <row r="2" spans="3:22" x14ac:dyDescent="0.3">
      <c r="C2" s="16"/>
      <c r="D2" s="16"/>
      <c r="E2" s="16"/>
      <c r="F2" s="16"/>
      <c r="G2" s="16"/>
      <c r="H2" s="16"/>
      <c r="I2" s="16"/>
      <c r="J2" s="16"/>
      <c r="K2" s="16"/>
      <c r="L2" s="16"/>
      <c r="M2" s="16"/>
      <c r="N2" s="16"/>
      <c r="O2" s="16"/>
      <c r="P2" s="16"/>
      <c r="Q2" s="16"/>
      <c r="R2" s="16"/>
      <c r="S2" s="16"/>
      <c r="T2" s="16"/>
      <c r="U2" s="16"/>
      <c r="V2" s="16"/>
    </row>
    <row r="3" spans="3:22" x14ac:dyDescent="0.3">
      <c r="C3" s="16"/>
      <c r="D3" s="16"/>
      <c r="E3" s="16"/>
      <c r="F3" s="16"/>
      <c r="G3" s="16"/>
      <c r="H3" s="16"/>
      <c r="I3" s="16"/>
      <c r="J3" s="16"/>
      <c r="K3" s="16"/>
      <c r="L3" s="16"/>
      <c r="M3" s="16"/>
      <c r="N3" s="16"/>
      <c r="O3" s="16"/>
      <c r="P3" s="16"/>
      <c r="Q3" s="16"/>
      <c r="R3" s="16"/>
      <c r="S3" s="16"/>
      <c r="T3" s="16"/>
      <c r="U3" s="16"/>
      <c r="V3" s="16"/>
    </row>
    <row r="4" spans="3:22" x14ac:dyDescent="0.3">
      <c r="C4" s="16"/>
      <c r="D4" s="16"/>
      <c r="E4" s="16"/>
      <c r="F4" s="16"/>
      <c r="G4" s="16"/>
      <c r="H4" s="16"/>
      <c r="I4" s="16"/>
      <c r="J4" s="16"/>
      <c r="K4" s="16"/>
      <c r="L4" s="16"/>
      <c r="M4" s="16"/>
      <c r="N4" s="16"/>
      <c r="O4" s="16"/>
      <c r="P4" s="16"/>
      <c r="Q4" s="16"/>
      <c r="R4" s="16"/>
      <c r="S4" s="16"/>
      <c r="T4" s="16"/>
      <c r="U4" s="16"/>
      <c r="V4" s="16"/>
    </row>
    <row r="5" spans="3:22" x14ac:dyDescent="0.3">
      <c r="C5" s="16"/>
      <c r="D5" s="16"/>
      <c r="E5" s="16"/>
      <c r="F5" s="16"/>
      <c r="G5" s="16"/>
      <c r="H5" s="16"/>
      <c r="I5" s="16"/>
      <c r="J5" s="16"/>
      <c r="K5" s="16"/>
      <c r="L5" s="16"/>
      <c r="M5" s="16"/>
      <c r="N5" s="16"/>
      <c r="O5" s="16"/>
      <c r="P5" s="16"/>
      <c r="Q5" s="16"/>
      <c r="R5" s="16"/>
      <c r="S5" s="16"/>
      <c r="T5" s="16"/>
      <c r="U5" s="16"/>
      <c r="V5" s="16"/>
    </row>
    <row r="6" spans="3:22" x14ac:dyDescent="0.3">
      <c r="C6" s="17"/>
      <c r="D6" s="17"/>
      <c r="E6" s="17"/>
      <c r="F6" s="17"/>
      <c r="G6" s="18"/>
      <c r="H6" s="18"/>
      <c r="I6" s="18"/>
      <c r="J6" s="18"/>
      <c r="K6" s="18"/>
      <c r="L6" s="18"/>
      <c r="M6" s="18"/>
      <c r="N6" s="18"/>
      <c r="O6" s="18"/>
      <c r="P6" s="18"/>
      <c r="Q6" s="18"/>
      <c r="R6" s="18"/>
      <c r="S6" s="18"/>
      <c r="T6" s="18"/>
      <c r="U6" s="18"/>
      <c r="V6" s="18"/>
    </row>
    <row r="7" spans="3:22" x14ac:dyDescent="0.3">
      <c r="C7" s="17"/>
      <c r="D7" s="17"/>
      <c r="E7" s="17"/>
      <c r="F7" s="17"/>
      <c r="G7" s="18"/>
      <c r="H7" s="18"/>
      <c r="I7" s="18"/>
      <c r="J7" s="18"/>
      <c r="K7" s="18"/>
      <c r="L7" s="18"/>
      <c r="M7" s="18"/>
      <c r="N7" s="18"/>
      <c r="O7" s="18"/>
      <c r="P7" s="18"/>
      <c r="Q7" s="18"/>
      <c r="R7" s="18"/>
      <c r="S7" s="18"/>
      <c r="T7" s="18"/>
      <c r="U7" s="18"/>
      <c r="V7" s="18"/>
    </row>
    <row r="8" spans="3:22" x14ac:dyDescent="0.3">
      <c r="C8" s="17"/>
      <c r="D8" s="17"/>
      <c r="E8" s="17"/>
      <c r="F8" s="17"/>
      <c r="G8" s="18"/>
      <c r="H8" s="18"/>
      <c r="I8" s="18"/>
      <c r="J8" s="18"/>
      <c r="K8" s="18"/>
      <c r="L8" s="18"/>
      <c r="M8" s="18"/>
      <c r="N8" s="18"/>
      <c r="O8" s="18"/>
      <c r="P8" s="18"/>
      <c r="Q8" s="18"/>
      <c r="R8" s="18"/>
      <c r="S8" s="18"/>
      <c r="T8" s="18"/>
      <c r="U8" s="18"/>
      <c r="V8" s="18"/>
    </row>
    <row r="9" spans="3:22" x14ac:dyDescent="0.3">
      <c r="C9" s="17"/>
      <c r="D9" s="17"/>
      <c r="E9" s="17"/>
      <c r="F9" s="17"/>
      <c r="G9" s="18"/>
      <c r="H9" s="18"/>
      <c r="I9" s="18"/>
      <c r="J9" s="18"/>
      <c r="K9" s="18"/>
      <c r="L9" s="18"/>
      <c r="M9" s="18"/>
      <c r="N9" s="18"/>
      <c r="O9" s="18"/>
      <c r="P9" s="18"/>
      <c r="Q9" s="18"/>
      <c r="R9" s="18"/>
      <c r="S9" s="18"/>
      <c r="T9" s="18"/>
      <c r="U9" s="18"/>
      <c r="V9" s="18"/>
    </row>
    <row r="10" spans="3:22" x14ac:dyDescent="0.3">
      <c r="C10" s="17"/>
      <c r="D10" s="17"/>
      <c r="E10" s="17"/>
      <c r="F10" s="17"/>
      <c r="G10" s="18"/>
      <c r="H10" s="18"/>
      <c r="I10" s="18"/>
      <c r="J10" s="18"/>
      <c r="K10" s="18"/>
      <c r="L10" s="18"/>
      <c r="M10" s="18"/>
      <c r="N10" s="18"/>
      <c r="O10" s="18"/>
      <c r="P10" s="18"/>
      <c r="Q10" s="18"/>
      <c r="R10" s="18"/>
      <c r="S10" s="18"/>
      <c r="T10" s="18"/>
      <c r="U10" s="18"/>
      <c r="V10" s="18"/>
    </row>
    <row r="11" spans="3:22" x14ac:dyDescent="0.3">
      <c r="C11" s="17"/>
      <c r="D11" s="17"/>
      <c r="E11" s="17"/>
      <c r="F11" s="17"/>
      <c r="G11" s="18"/>
      <c r="H11" s="18"/>
      <c r="I11" s="18"/>
      <c r="J11" s="18"/>
      <c r="K11" s="18"/>
      <c r="L11" s="18"/>
      <c r="M11" s="18"/>
      <c r="N11" s="18"/>
      <c r="O11" s="18"/>
      <c r="P11" s="18" t="s">
        <v>133</v>
      </c>
      <c r="Q11" s="18"/>
      <c r="R11" s="18"/>
      <c r="S11" s="18"/>
      <c r="T11" s="18"/>
      <c r="U11" s="18"/>
      <c r="V11" s="18"/>
    </row>
    <row r="12" spans="3:22" x14ac:dyDescent="0.3">
      <c r="C12" s="17"/>
      <c r="D12" s="17"/>
      <c r="E12" s="17"/>
      <c r="F12" s="17"/>
      <c r="G12" s="18"/>
      <c r="H12" s="18"/>
      <c r="I12" s="18"/>
      <c r="J12" s="18"/>
      <c r="K12" s="18"/>
      <c r="L12" s="18"/>
      <c r="M12" s="18"/>
      <c r="N12" s="18"/>
      <c r="O12" s="18"/>
      <c r="P12" s="18"/>
      <c r="Q12" s="18"/>
      <c r="R12" s="18"/>
      <c r="S12" s="18"/>
      <c r="T12" s="18"/>
      <c r="U12" s="18"/>
      <c r="V12" s="18"/>
    </row>
    <row r="13" spans="3:22" x14ac:dyDescent="0.3">
      <c r="C13" s="17"/>
      <c r="D13" s="17"/>
      <c r="E13" s="17"/>
      <c r="F13" s="17"/>
      <c r="G13" s="18"/>
      <c r="H13" s="18"/>
      <c r="I13" s="18"/>
      <c r="J13" s="18"/>
      <c r="K13" s="18"/>
      <c r="L13" s="18"/>
      <c r="M13" s="18"/>
      <c r="N13" s="18"/>
      <c r="O13" s="18"/>
      <c r="P13" s="18"/>
      <c r="Q13" s="18"/>
      <c r="R13" s="18"/>
      <c r="S13" s="18"/>
      <c r="T13" s="18"/>
      <c r="U13" s="18"/>
      <c r="V13" s="18"/>
    </row>
    <row r="14" spans="3:22" x14ac:dyDescent="0.3">
      <c r="C14" s="17"/>
      <c r="D14" s="17"/>
      <c r="E14" s="17"/>
      <c r="F14" s="17"/>
      <c r="G14" s="18"/>
      <c r="H14" s="18"/>
      <c r="I14" s="18"/>
      <c r="J14" s="18"/>
      <c r="K14" s="18"/>
      <c r="L14" s="18"/>
      <c r="M14" s="18"/>
      <c r="N14" s="18"/>
      <c r="O14" s="18"/>
      <c r="P14" s="18"/>
      <c r="Q14" s="18"/>
      <c r="R14" s="18"/>
      <c r="S14" s="18"/>
      <c r="T14" s="18"/>
      <c r="U14" s="18"/>
      <c r="V14" s="18"/>
    </row>
    <row r="15" spans="3:22" x14ac:dyDescent="0.3">
      <c r="C15" s="17"/>
      <c r="D15" s="17"/>
      <c r="E15" s="17"/>
      <c r="F15" s="17"/>
      <c r="G15" s="18"/>
      <c r="H15" s="18"/>
      <c r="I15" s="18"/>
      <c r="J15" s="18"/>
      <c r="K15" s="18"/>
      <c r="L15" s="18"/>
      <c r="M15" s="18"/>
      <c r="N15" s="18"/>
      <c r="O15" s="18"/>
      <c r="P15" s="18"/>
      <c r="Q15" s="18"/>
      <c r="R15" s="18"/>
      <c r="S15" s="18"/>
      <c r="T15" s="18"/>
      <c r="U15" s="18"/>
      <c r="V15" s="18"/>
    </row>
    <row r="16" spans="3:22" x14ac:dyDescent="0.3">
      <c r="C16" s="17"/>
      <c r="D16" s="17"/>
      <c r="E16" s="17"/>
      <c r="F16" s="17"/>
      <c r="G16" s="18"/>
      <c r="H16" s="18"/>
      <c r="I16" s="18"/>
      <c r="J16" s="18"/>
      <c r="K16" s="18"/>
      <c r="L16" s="18"/>
      <c r="M16" s="18"/>
      <c r="N16" s="18"/>
      <c r="O16" s="18"/>
      <c r="P16" s="18"/>
      <c r="Q16" s="18"/>
      <c r="R16" s="18"/>
      <c r="S16" s="18"/>
      <c r="T16" s="18"/>
      <c r="U16" s="18"/>
      <c r="V16" s="18"/>
    </row>
    <row r="17" spans="3:22" x14ac:dyDescent="0.3">
      <c r="C17" s="17"/>
      <c r="D17" s="17"/>
      <c r="E17" s="17"/>
      <c r="F17" s="17"/>
      <c r="G17" s="18"/>
      <c r="H17" s="18"/>
      <c r="I17" s="18"/>
      <c r="J17" s="18"/>
      <c r="K17" s="18"/>
      <c r="L17" s="18"/>
      <c r="M17" s="18"/>
      <c r="N17" s="18"/>
      <c r="O17" s="18"/>
      <c r="P17" s="18"/>
      <c r="Q17" s="18"/>
      <c r="R17" s="18"/>
      <c r="S17" s="18"/>
      <c r="T17" s="18"/>
      <c r="U17" s="18"/>
      <c r="V17" s="18"/>
    </row>
    <row r="18" spans="3:22" x14ac:dyDescent="0.3">
      <c r="C18" s="17"/>
      <c r="D18" s="17"/>
      <c r="E18" s="17"/>
      <c r="F18" s="17"/>
      <c r="G18" s="18"/>
      <c r="H18" s="18"/>
      <c r="I18" s="18"/>
      <c r="J18" s="18"/>
      <c r="K18" s="18"/>
      <c r="L18" s="18"/>
      <c r="M18" s="18"/>
      <c r="N18" s="18"/>
      <c r="O18" s="18"/>
      <c r="P18" s="18"/>
      <c r="Q18" s="18"/>
      <c r="R18" s="18"/>
      <c r="S18" s="18"/>
      <c r="T18" s="18"/>
      <c r="U18" s="18"/>
      <c r="V18" s="18"/>
    </row>
    <row r="19" spans="3:22" x14ac:dyDescent="0.3">
      <c r="C19" s="17"/>
      <c r="D19" s="17"/>
      <c r="E19" s="17"/>
      <c r="F19" s="17"/>
      <c r="G19" s="18"/>
      <c r="H19" s="18"/>
      <c r="I19" s="18"/>
      <c r="J19" s="18"/>
      <c r="K19" s="18"/>
      <c r="L19" s="18"/>
      <c r="M19" s="18"/>
      <c r="N19" s="18"/>
      <c r="O19" s="18"/>
      <c r="P19" s="18"/>
      <c r="Q19" s="18"/>
      <c r="R19" s="18"/>
      <c r="S19" s="18"/>
      <c r="T19" s="18"/>
      <c r="U19" s="18"/>
      <c r="V19" s="18"/>
    </row>
    <row r="20" spans="3:22" x14ac:dyDescent="0.3">
      <c r="C20" s="17"/>
      <c r="D20" s="17"/>
      <c r="E20" s="17"/>
      <c r="F20" s="17"/>
      <c r="G20" s="18"/>
      <c r="H20" s="18"/>
      <c r="I20" s="18"/>
      <c r="J20" s="18"/>
      <c r="K20" s="18"/>
      <c r="L20" s="18"/>
      <c r="M20" s="18"/>
      <c r="N20" s="18"/>
      <c r="O20" s="18"/>
      <c r="P20" s="18"/>
      <c r="Q20" s="18"/>
      <c r="R20" s="18"/>
      <c r="S20" s="18"/>
      <c r="T20" s="18"/>
      <c r="U20" s="18"/>
      <c r="V20" s="18"/>
    </row>
    <row r="21" spans="3:22" x14ac:dyDescent="0.3">
      <c r="C21" s="17"/>
      <c r="D21" s="17"/>
      <c r="E21" s="17"/>
      <c r="F21" s="17"/>
      <c r="G21" s="18"/>
      <c r="H21" s="18"/>
      <c r="I21" s="18"/>
      <c r="J21" s="18"/>
      <c r="K21" s="18"/>
      <c r="L21" s="18"/>
      <c r="M21" s="18"/>
      <c r="N21" s="18"/>
      <c r="O21" s="18"/>
      <c r="P21" s="18"/>
      <c r="Q21" s="18"/>
      <c r="R21" s="18"/>
      <c r="S21" s="18"/>
      <c r="T21" s="18"/>
      <c r="U21" s="18"/>
      <c r="V21" s="18"/>
    </row>
    <row r="22" spans="3:22" x14ac:dyDescent="0.3">
      <c r="C22" s="17"/>
      <c r="D22" s="17"/>
      <c r="E22" s="17"/>
      <c r="F22" s="17"/>
      <c r="G22" s="18"/>
      <c r="H22" s="18"/>
      <c r="I22" s="18"/>
      <c r="J22" s="18"/>
      <c r="K22" s="18"/>
      <c r="L22" s="18"/>
      <c r="M22" s="18"/>
      <c r="N22" s="18"/>
      <c r="O22" s="18"/>
      <c r="P22" s="18"/>
      <c r="Q22" s="18"/>
      <c r="R22" s="18"/>
      <c r="S22" s="18"/>
      <c r="T22" s="18"/>
      <c r="U22" s="18"/>
      <c r="V22" s="18"/>
    </row>
    <row r="23" spans="3:22" x14ac:dyDescent="0.3">
      <c r="C23" s="17"/>
      <c r="D23" s="17"/>
      <c r="E23" s="17"/>
      <c r="F23" s="17"/>
      <c r="G23" s="18"/>
      <c r="H23" s="18"/>
      <c r="I23" s="18"/>
      <c r="J23" s="18"/>
      <c r="K23" s="18"/>
      <c r="L23" s="18"/>
      <c r="M23" s="18"/>
      <c r="N23" s="18"/>
      <c r="O23" s="18"/>
      <c r="P23" s="18"/>
      <c r="Q23" s="18"/>
      <c r="R23" s="18"/>
      <c r="S23" s="18"/>
      <c r="T23" s="18"/>
      <c r="U23" s="18"/>
      <c r="V23" s="18"/>
    </row>
    <row r="24" spans="3:22" x14ac:dyDescent="0.3">
      <c r="C24" s="17"/>
      <c r="D24" s="17"/>
      <c r="E24" s="17"/>
      <c r="F24" s="17"/>
      <c r="G24" s="18"/>
      <c r="H24" s="18"/>
      <c r="I24" s="18"/>
      <c r="J24" s="18"/>
      <c r="K24" s="18"/>
      <c r="L24" s="18"/>
      <c r="M24" s="18"/>
      <c r="N24" s="18"/>
      <c r="O24" s="18"/>
      <c r="P24" s="18"/>
      <c r="Q24" s="18"/>
      <c r="R24" s="18"/>
      <c r="S24" s="18"/>
      <c r="T24" s="18"/>
      <c r="U24" s="18"/>
      <c r="V24" s="18"/>
    </row>
    <row r="25" spans="3:22" x14ac:dyDescent="0.3">
      <c r="C25" s="17"/>
      <c r="D25" s="17"/>
      <c r="E25" s="17"/>
      <c r="F25" s="17"/>
      <c r="G25" s="18"/>
      <c r="H25" s="18"/>
      <c r="I25" s="18"/>
      <c r="J25" s="18"/>
      <c r="K25" s="18"/>
      <c r="L25" s="18"/>
      <c r="M25" s="18"/>
      <c r="N25" s="18"/>
      <c r="O25" s="18"/>
      <c r="P25" s="18"/>
      <c r="Q25" s="18"/>
      <c r="R25" s="18"/>
      <c r="S25" s="18"/>
      <c r="T25" s="18"/>
      <c r="U25" s="18"/>
      <c r="V25" s="18"/>
    </row>
    <row r="26" spans="3:22" x14ac:dyDescent="0.3">
      <c r="C26" s="17"/>
      <c r="D26" s="17"/>
      <c r="E26" s="17"/>
      <c r="F26" s="17"/>
      <c r="G26" s="18"/>
      <c r="H26" s="18"/>
      <c r="I26" s="18"/>
      <c r="J26" s="18"/>
      <c r="K26" s="18"/>
      <c r="L26" s="18"/>
      <c r="M26" s="18"/>
      <c r="N26" s="18"/>
      <c r="O26" s="18"/>
      <c r="P26" s="18"/>
      <c r="Q26" s="18"/>
      <c r="R26" s="18"/>
      <c r="S26" s="18"/>
      <c r="T26" s="18"/>
      <c r="U26" s="18"/>
      <c r="V26" s="18"/>
    </row>
    <row r="27" spans="3:22" x14ac:dyDescent="0.3">
      <c r="C27" s="17"/>
      <c r="D27" s="17"/>
      <c r="E27" s="17"/>
      <c r="F27" s="17"/>
      <c r="G27" s="18"/>
      <c r="H27" s="18"/>
      <c r="I27" s="18"/>
      <c r="J27" s="18"/>
      <c r="K27" s="18"/>
      <c r="L27" s="18"/>
      <c r="M27" s="18"/>
      <c r="N27" s="18"/>
      <c r="O27" s="18"/>
      <c r="P27" s="18"/>
      <c r="Q27" s="18"/>
      <c r="R27" s="18"/>
      <c r="S27" s="18"/>
      <c r="T27" s="18"/>
      <c r="U27" s="18"/>
      <c r="V27" s="18"/>
    </row>
    <row r="28" spans="3:22" x14ac:dyDescent="0.3">
      <c r="C28" s="17"/>
      <c r="D28" s="17"/>
      <c r="E28" s="17"/>
      <c r="F28" s="17"/>
      <c r="G28" s="18"/>
      <c r="H28" s="18"/>
      <c r="I28" s="18"/>
      <c r="J28" s="18"/>
      <c r="K28" s="18"/>
      <c r="L28" s="18"/>
      <c r="M28" s="18"/>
      <c r="N28" s="18"/>
      <c r="O28" s="18"/>
      <c r="P28" s="18"/>
      <c r="Q28" s="18"/>
      <c r="R28" s="18"/>
      <c r="S28" s="18"/>
      <c r="T28" s="18"/>
      <c r="U28" s="18"/>
      <c r="V28" s="18"/>
    </row>
    <row r="29" spans="3:22" x14ac:dyDescent="0.3">
      <c r="C29" s="17"/>
      <c r="D29" s="17"/>
      <c r="E29" s="17"/>
      <c r="F29" s="17"/>
      <c r="G29" s="18"/>
      <c r="H29" s="18"/>
      <c r="I29" s="18"/>
      <c r="J29" s="18"/>
      <c r="K29" s="18"/>
      <c r="L29" s="18"/>
      <c r="M29" s="18"/>
      <c r="N29" s="18"/>
      <c r="O29" s="18"/>
      <c r="P29" s="18"/>
      <c r="Q29" s="18"/>
      <c r="R29" s="18"/>
      <c r="S29" s="18"/>
      <c r="T29" s="18"/>
      <c r="U29" s="18"/>
      <c r="V29" s="18"/>
    </row>
    <row r="30" spans="3:22" x14ac:dyDescent="0.3">
      <c r="C30" s="17"/>
      <c r="D30" s="17"/>
      <c r="E30" s="17"/>
      <c r="F30" s="17"/>
      <c r="G30" s="18"/>
      <c r="H30" s="18"/>
      <c r="I30" s="18"/>
      <c r="J30" s="18"/>
      <c r="K30" s="18"/>
      <c r="L30" s="18"/>
      <c r="M30" s="18"/>
      <c r="N30" s="18"/>
      <c r="O30" s="18"/>
      <c r="P30" s="18"/>
      <c r="Q30" s="18"/>
      <c r="R30" s="18"/>
      <c r="S30" s="18"/>
      <c r="T30" s="18"/>
      <c r="U30" s="18"/>
      <c r="V30" s="18"/>
    </row>
    <row r="31" spans="3:22" x14ac:dyDescent="0.3">
      <c r="C31" s="17"/>
      <c r="D31" s="17"/>
      <c r="E31" s="17"/>
      <c r="F31" s="17"/>
      <c r="G31" s="18"/>
      <c r="H31" s="18"/>
      <c r="I31" s="18"/>
      <c r="J31" s="18"/>
      <c r="K31" s="18"/>
      <c r="L31" s="18"/>
      <c r="M31" s="18"/>
      <c r="N31" s="18"/>
      <c r="O31" s="18"/>
      <c r="P31" s="18"/>
      <c r="Q31" s="18"/>
      <c r="R31" s="18"/>
      <c r="S31" s="18"/>
      <c r="T31" s="18"/>
      <c r="U31" s="18"/>
      <c r="V31" s="18"/>
    </row>
    <row r="32" spans="3:22" x14ac:dyDescent="0.3">
      <c r="C32" s="17"/>
      <c r="D32" s="17"/>
      <c r="E32" s="17"/>
      <c r="F32" s="17"/>
      <c r="G32" s="18"/>
      <c r="H32" s="18"/>
      <c r="I32" s="18"/>
      <c r="J32" s="18"/>
      <c r="K32" s="18"/>
      <c r="L32" s="18"/>
      <c r="M32" s="18"/>
      <c r="N32" s="18"/>
      <c r="O32" s="18"/>
      <c r="P32" s="18"/>
      <c r="Q32" s="18"/>
      <c r="R32" s="18"/>
      <c r="S32" s="18"/>
      <c r="T32" s="18"/>
      <c r="U32" s="18"/>
      <c r="V32" s="18"/>
    </row>
    <row r="33" spans="3:22" x14ac:dyDescent="0.3">
      <c r="C33" s="17"/>
      <c r="D33" s="17"/>
      <c r="E33" s="17"/>
      <c r="F33" s="17"/>
      <c r="G33" s="18"/>
      <c r="H33" s="18"/>
      <c r="I33" s="18"/>
      <c r="J33" s="18"/>
      <c r="K33" s="18"/>
      <c r="L33" s="18"/>
      <c r="M33" s="18"/>
      <c r="N33" s="18"/>
      <c r="O33" s="18"/>
      <c r="P33" s="18"/>
      <c r="Q33" s="18"/>
      <c r="R33" s="18"/>
      <c r="S33" s="18"/>
      <c r="T33" s="18"/>
      <c r="U33" s="18"/>
      <c r="V33" s="18"/>
    </row>
    <row r="34" spans="3:22" x14ac:dyDescent="0.3">
      <c r="C34" s="17"/>
      <c r="D34" s="17"/>
      <c r="E34" s="17"/>
      <c r="F34" s="17"/>
      <c r="G34" s="18"/>
      <c r="H34" s="18"/>
      <c r="I34" s="18"/>
      <c r="J34" s="18"/>
      <c r="K34" s="18"/>
      <c r="L34" s="18"/>
      <c r="M34" s="18"/>
      <c r="N34" s="18"/>
      <c r="O34" s="18"/>
      <c r="P34" s="18"/>
      <c r="Q34" s="18"/>
      <c r="R34" s="18"/>
      <c r="S34" s="18"/>
      <c r="T34" s="18"/>
      <c r="U34" s="18"/>
      <c r="V34" s="18"/>
    </row>
    <row r="35" spans="3:22" x14ac:dyDescent="0.3">
      <c r="C35" s="17"/>
      <c r="D35" s="17"/>
      <c r="E35" s="17"/>
      <c r="F35" s="17"/>
      <c r="G35" s="18"/>
      <c r="H35" s="18"/>
      <c r="I35" s="18"/>
      <c r="J35" s="18"/>
      <c r="K35" s="18"/>
      <c r="L35" s="18"/>
      <c r="M35" s="18"/>
      <c r="N35" s="18"/>
      <c r="O35" s="18"/>
      <c r="P35" s="18"/>
      <c r="Q35" s="18"/>
      <c r="R35" s="18"/>
      <c r="S35" s="18"/>
      <c r="T35" s="18"/>
      <c r="U35" s="18"/>
      <c r="V35" s="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0898C-B2B4-46F1-83D3-445F690A5169}">
  <dimension ref="B5:D10"/>
  <sheetViews>
    <sheetView showGridLines="0" workbookViewId="0">
      <selection activeCell="H10" sqref="H10"/>
    </sheetView>
  </sheetViews>
  <sheetFormatPr defaultRowHeight="14.4" x14ac:dyDescent="0.3"/>
  <cols>
    <col min="1" max="1" width="8.77734375" bestFit="1" customWidth="1"/>
    <col min="2" max="2" width="8.109375" bestFit="1" customWidth="1"/>
    <col min="3" max="3" width="18.6640625" customWidth="1"/>
    <col min="4" max="4" width="19.44140625" customWidth="1"/>
  </cols>
  <sheetData>
    <row r="5" spans="2:4" x14ac:dyDescent="0.3">
      <c r="B5" s="21"/>
      <c r="C5" t="s">
        <v>9</v>
      </c>
      <c r="D5" t="s">
        <v>134</v>
      </c>
    </row>
    <row r="6" spans="2:4" x14ac:dyDescent="0.3">
      <c r="B6" s="20"/>
      <c r="C6" t="s">
        <v>12</v>
      </c>
      <c r="D6">
        <v>26</v>
      </c>
    </row>
    <row r="7" spans="2:4" x14ac:dyDescent="0.3">
      <c r="B7" s="20"/>
      <c r="C7" t="s">
        <v>14</v>
      </c>
      <c r="D7">
        <v>24</v>
      </c>
    </row>
    <row r="8" spans="2:4" x14ac:dyDescent="0.3">
      <c r="B8" s="20"/>
      <c r="C8" t="s">
        <v>20</v>
      </c>
      <c r="D8">
        <v>21</v>
      </c>
    </row>
    <row r="9" spans="2:4" x14ac:dyDescent="0.3">
      <c r="B9" s="20"/>
      <c r="C9" t="s">
        <v>24</v>
      </c>
      <c r="D9">
        <v>17</v>
      </c>
    </row>
    <row r="10" spans="2:4" x14ac:dyDescent="0.3">
      <c r="B10" s="20"/>
      <c r="C10" t="s">
        <v>27</v>
      </c>
      <c r="D10">
        <v>12</v>
      </c>
    </row>
  </sheetData>
  <dataValidations count="5">
    <dataValidation type="list" allowBlank="1" showInputMessage="1" showErrorMessage="1" prompt="south" sqref="C6" xr:uid="{FA626B82-DF31-4E61-92FC-BD3FA9D55FCB}">
      <formula1>"South,Central,East,North,West"</formula1>
    </dataValidation>
    <dataValidation type="list" allowBlank="1" showInputMessage="1" showErrorMessage="1" prompt="Central" sqref="C7" xr:uid="{EB1B9167-227D-452C-A0ED-8234FBEADD19}">
      <formula1>"South,Central,East,North,West"</formula1>
    </dataValidation>
    <dataValidation type="list" allowBlank="1" showInputMessage="1" showErrorMessage="1" prompt="East" sqref="C8" xr:uid="{5129A01C-87AF-41CB-85F0-7EE3C40CBD82}">
      <formula1>"South,Central,East,North,West"</formula1>
    </dataValidation>
    <dataValidation type="list" allowBlank="1" showInputMessage="1" showErrorMessage="1" prompt="north" sqref="C9" xr:uid="{191B064D-4FFC-4026-93AD-3A17B52C519C}">
      <formula1>"South,Central,East,North,West"</formula1>
    </dataValidation>
    <dataValidation type="list" allowBlank="1" showInputMessage="1" showErrorMessage="1" prompt="west" sqref="C10" xr:uid="{CEB085E4-1B10-4A74-98AF-A65B7F3C6AE1}">
      <formula1>"South,Central,East,North,West"</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F1567-367B-47DE-BEE4-D371023B24A4}">
  <dimension ref="C4:Q14"/>
  <sheetViews>
    <sheetView showGridLines="0" workbookViewId="0">
      <selection activeCell="S11" sqref="S11"/>
    </sheetView>
  </sheetViews>
  <sheetFormatPr defaultRowHeight="14.4" x14ac:dyDescent="0.3"/>
  <sheetData>
    <row r="4" spans="3:17" x14ac:dyDescent="0.3">
      <c r="C4" s="18"/>
      <c r="D4" s="18"/>
      <c r="E4" s="18"/>
      <c r="F4" s="18"/>
      <c r="G4" s="18"/>
      <c r="H4" s="18"/>
      <c r="I4" s="18"/>
      <c r="J4" s="18"/>
      <c r="K4" s="18"/>
      <c r="L4" s="18"/>
      <c r="M4" s="18"/>
      <c r="N4" s="18"/>
      <c r="O4" s="18"/>
      <c r="P4" s="18"/>
      <c r="Q4" s="18"/>
    </row>
    <row r="5" spans="3:17" ht="21" x14ac:dyDescent="0.4">
      <c r="C5" s="24" t="s">
        <v>135</v>
      </c>
      <c r="D5" s="25"/>
      <c r="E5" s="18"/>
      <c r="F5" s="18"/>
      <c r="G5" s="18"/>
      <c r="H5" s="18"/>
      <c r="I5" s="18"/>
      <c r="J5" s="18"/>
      <c r="K5" s="18"/>
      <c r="L5" s="18"/>
      <c r="M5" s="18"/>
      <c r="N5" s="18"/>
      <c r="O5" s="18"/>
      <c r="P5" s="18"/>
      <c r="Q5" s="18"/>
    </row>
    <row r="6" spans="3:17" ht="19.8" customHeight="1" x14ac:dyDescent="0.3">
      <c r="C6" s="18"/>
      <c r="D6" s="26" t="s">
        <v>139</v>
      </c>
      <c r="E6" s="26"/>
      <c r="F6" s="26"/>
      <c r="G6" s="26"/>
      <c r="H6" s="26"/>
      <c r="I6" s="26"/>
      <c r="J6" s="26"/>
      <c r="K6" s="26"/>
      <c r="L6" s="26"/>
      <c r="M6" s="26"/>
      <c r="N6" s="26"/>
      <c r="O6" s="26"/>
      <c r="P6" s="26"/>
      <c r="Q6" s="18"/>
    </row>
    <row r="7" spans="3:17" ht="22.2" customHeight="1" x14ac:dyDescent="0.3">
      <c r="C7" s="18"/>
      <c r="D7" s="26" t="s">
        <v>138</v>
      </c>
      <c r="E7" s="26"/>
      <c r="F7" s="26"/>
      <c r="G7" s="26"/>
      <c r="H7" s="26"/>
      <c r="I7" s="26"/>
      <c r="J7" s="26"/>
      <c r="K7" s="26"/>
      <c r="L7" s="26"/>
      <c r="M7" s="26"/>
      <c r="N7" s="26"/>
      <c r="O7" s="26"/>
      <c r="P7" s="26"/>
      <c r="Q7" s="18"/>
    </row>
    <row r="8" spans="3:17" ht="19.8" customHeight="1" x14ac:dyDescent="0.3">
      <c r="C8" s="18"/>
      <c r="D8" s="26" t="s">
        <v>137</v>
      </c>
      <c r="E8" s="26"/>
      <c r="F8" s="26"/>
      <c r="G8" s="26"/>
      <c r="H8" s="26"/>
      <c r="I8" s="26"/>
      <c r="J8" s="26"/>
      <c r="K8" s="26"/>
      <c r="L8" s="26"/>
      <c r="M8" s="26"/>
      <c r="N8" s="26"/>
      <c r="O8" s="26"/>
      <c r="P8" s="26"/>
      <c r="Q8" s="18"/>
    </row>
    <row r="9" spans="3:17" ht="25.2" customHeight="1" x14ac:dyDescent="0.3">
      <c r="C9" s="18"/>
      <c r="D9" s="26" t="s">
        <v>136</v>
      </c>
      <c r="E9" s="26"/>
      <c r="F9" s="26"/>
      <c r="G9" s="26"/>
      <c r="H9" s="26"/>
      <c r="I9" s="26"/>
      <c r="J9" s="26"/>
      <c r="K9" s="26"/>
      <c r="L9" s="26"/>
      <c r="M9" s="26"/>
      <c r="N9" s="26"/>
      <c r="O9" s="26"/>
      <c r="P9" s="26"/>
      <c r="Q9" s="18"/>
    </row>
    <row r="10" spans="3:17" ht="22.2" customHeight="1" x14ac:dyDescent="0.3">
      <c r="C10" s="18"/>
      <c r="D10" s="26" t="s">
        <v>140</v>
      </c>
      <c r="E10" s="18"/>
      <c r="F10" s="18"/>
      <c r="G10" s="18"/>
      <c r="H10" s="18"/>
      <c r="I10" s="18"/>
      <c r="J10" s="18"/>
      <c r="K10" s="18"/>
      <c r="L10" s="18"/>
      <c r="M10" s="18"/>
      <c r="N10" s="18"/>
      <c r="O10" s="18"/>
      <c r="P10" s="18"/>
      <c r="Q10" s="18"/>
    </row>
    <row r="11" spans="3:17" ht="24" customHeight="1" x14ac:dyDescent="0.3">
      <c r="C11" s="18"/>
      <c r="D11" s="26" t="s">
        <v>141</v>
      </c>
      <c r="E11" s="18"/>
      <c r="F11" s="18"/>
      <c r="G11" s="18"/>
      <c r="H11" s="18"/>
      <c r="I11" s="18"/>
      <c r="J11" s="18"/>
      <c r="K11" s="18"/>
      <c r="L11" s="18"/>
      <c r="M11" s="18"/>
      <c r="N11" s="18"/>
      <c r="O11" s="18"/>
      <c r="P11" s="18"/>
      <c r="Q11" s="18"/>
    </row>
    <row r="12" spans="3:17" x14ac:dyDescent="0.3">
      <c r="C12" s="18"/>
      <c r="D12" s="18" t="s">
        <v>142</v>
      </c>
      <c r="E12" s="18"/>
      <c r="F12" s="18"/>
      <c r="G12" s="18"/>
      <c r="H12" s="18"/>
      <c r="I12" s="18"/>
      <c r="J12" s="18"/>
      <c r="K12" s="18"/>
      <c r="L12" s="18"/>
      <c r="M12" s="18"/>
      <c r="N12" s="18"/>
      <c r="O12" s="18"/>
      <c r="P12" s="18"/>
      <c r="Q12" s="18"/>
    </row>
    <row r="13" spans="3:17" x14ac:dyDescent="0.3">
      <c r="C13" s="18"/>
      <c r="D13" s="18"/>
      <c r="E13" s="18"/>
      <c r="F13" s="18"/>
      <c r="G13" s="18"/>
      <c r="H13" s="18"/>
      <c r="I13" s="18"/>
      <c r="J13" s="18"/>
      <c r="K13" s="18"/>
      <c r="L13" s="18"/>
      <c r="M13" s="18"/>
      <c r="N13" s="18"/>
      <c r="O13" s="18"/>
      <c r="P13" s="18"/>
      <c r="Q13" s="18"/>
    </row>
    <row r="14" spans="3:17" x14ac:dyDescent="0.3">
      <c r="C14" s="18"/>
      <c r="D14" s="18"/>
      <c r="E14" s="18"/>
      <c r="F14" s="18"/>
      <c r="G14" s="18"/>
      <c r="H14" s="18"/>
      <c r="I14" s="18"/>
      <c r="J14" s="18"/>
      <c r="K14" s="18"/>
      <c r="L14" s="18"/>
      <c r="M14" s="18"/>
      <c r="N14" s="18"/>
      <c r="O14" s="18"/>
      <c r="P14" s="18"/>
      <c r="Q14" s="1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0EABAE1-5B55-4E92-9F94-D177BE3EED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 Cleaning &amp; Prep</vt:lpstr>
      <vt:lpstr>Health Status by Age Group</vt:lpstr>
      <vt:lpstr>Nutrient Intake vs. BMI</vt:lpstr>
      <vt:lpstr>Correlation of Sugar and Screen</vt:lpstr>
      <vt:lpstr>Regional Differences</vt:lpstr>
      <vt:lpstr>Dashboard</vt:lpstr>
      <vt:lpstr>Data Validation</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22A95A0335 .</dc:creator>
  <cp:lastModifiedBy>22A95A0335 .</cp:lastModifiedBy>
  <dcterms:created xsi:type="dcterms:W3CDTF">2026-03-18T02:49:08Z</dcterms:created>
  <dcterms:modified xsi:type="dcterms:W3CDTF">2026-03-18T12:50:09Z</dcterms:modified>
</cp:coreProperties>
</file>